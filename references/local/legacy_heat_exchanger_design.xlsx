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hongik-my.sharepoint.com/personal/wlsdud0918_mail_hongik_ac_kr/Documents/+열시스템 디자인/"/>
    </mc:Choice>
  </mc:AlternateContent>
  <xr:revisionPtr revIDLastSave="776" documentId="13_ncr:1_{521D5E96-D672-403C-AC0B-86A3143E415F}" xr6:coauthVersionLast="47" xr6:coauthVersionMax="47" xr10:uidLastSave="{5E649423-D6CE-4D01-BBA7-132A61A76466}"/>
  <bookViews>
    <workbookView xWindow="-120" yWindow="-120" windowWidth="29040" windowHeight="15840" activeTab="2" xr2:uid="{1A5A4ACB-4819-46DE-A956-A965DD28EF71}"/>
  </bookViews>
  <sheets>
    <sheet name="메모" sheetId="8" r:id="rId1"/>
    <sheet name="기존 증기압축 사이클" sheetId="9" r:id="rId2"/>
    <sheet name="내부 열전달 계수 계산" sheetId="2" r:id="rId3"/>
    <sheet name="외부 열전달 계수 계산" sheetId="6" r:id="rId4"/>
    <sheet name="핀치점 확인" sheetId="5" r:id="rId5"/>
    <sheet name="X" sheetId="7" r:id="rId6"/>
    <sheet name="LNG 상태량"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9" l="1"/>
  <c r="H18" i="9"/>
  <c r="I3" i="9" s="1"/>
  <c r="M3" i="9"/>
  <c r="B3" i="9"/>
  <c r="O14" i="2"/>
  <c r="O16" i="2"/>
  <c r="O17" i="2"/>
  <c r="F36" i="6"/>
  <c r="E36" i="6"/>
  <c r="D36" i="6"/>
  <c r="C36" i="6"/>
  <c r="D39" i="6"/>
  <c r="F25" i="6"/>
  <c r="E25" i="6"/>
  <c r="D25" i="6"/>
  <c r="C25" i="6"/>
  <c r="D28" i="6"/>
  <c r="D17" i="6"/>
  <c r="D6" i="6"/>
  <c r="F14" i="6"/>
  <c r="E14" i="6"/>
  <c r="D14" i="6"/>
  <c r="C14" i="6"/>
  <c r="F3" i="6"/>
  <c r="C3" i="6"/>
  <c r="D3" i="6"/>
  <c r="E3" i="6"/>
  <c r="C3" i="9" l="1"/>
  <c r="M3" i="6"/>
  <c r="K3" i="6" s="1"/>
  <c r="I3" i="6"/>
  <c r="N3" i="6"/>
  <c r="H4" i="7"/>
  <c r="A6" i="7"/>
  <c r="C9" i="7" s="1"/>
  <c r="A4" i="7"/>
  <c r="H14" i="5"/>
  <c r="O45" i="5" s="1"/>
  <c r="H17" i="5"/>
  <c r="H11" i="5" s="1"/>
  <c r="L45" i="5"/>
  <c r="L14" i="5"/>
  <c r="E45" i="5"/>
  <c r="E14" i="5"/>
  <c r="B10" i="2"/>
  <c r="B14" i="2" s="1"/>
  <c r="F6" i="7" s="1"/>
  <c r="J14" i="2"/>
  <c r="H10" i="2"/>
  <c r="D10" i="2"/>
  <c r="H3" i="6" l="1"/>
  <c r="F8" i="6"/>
  <c r="F6" i="6" s="1"/>
  <c r="B6" i="6" s="1"/>
  <c r="F19" i="6"/>
  <c r="F17" i="6" s="1"/>
  <c r="F30" i="6"/>
  <c r="F28" i="6" s="1"/>
  <c r="F41" i="6"/>
  <c r="F39" i="6" s="1"/>
  <c r="K5" i="6"/>
  <c r="H45" i="5"/>
  <c r="O14" i="5"/>
  <c r="P14" i="2"/>
  <c r="M14" i="2" s="1"/>
  <c r="N14" i="2" s="1"/>
  <c r="L14" i="2" s="1"/>
  <c r="L4" i="2" s="1"/>
  <c r="T17" i="2"/>
  <c r="M15" i="2" s="1"/>
  <c r="N15" i="2" s="1"/>
  <c r="F4" i="7"/>
  <c r="L54" i="5"/>
  <c r="L23" i="5"/>
  <c r="E54" i="5"/>
  <c r="E23" i="5"/>
  <c r="H23" i="5"/>
  <c r="H54" i="5"/>
  <c r="O23" i="5"/>
  <c r="O54" i="5"/>
  <c r="J10" i="2"/>
  <c r="B28" i="6" l="1"/>
  <c r="E28" i="6"/>
  <c r="C28" i="6" s="1"/>
  <c r="B33" i="6" s="1"/>
  <c r="L27" i="2" s="1"/>
  <c r="E39" i="6"/>
  <c r="C39" i="6" s="1"/>
  <c r="B44" i="6" s="1"/>
  <c r="L29" i="2" s="1"/>
  <c r="B39" i="6"/>
  <c r="E17" i="6"/>
  <c r="C17" i="6" s="1"/>
  <c r="B22" i="6" s="1"/>
  <c r="L25" i="2" s="1"/>
  <c r="B17" i="6"/>
  <c r="E6" i="6"/>
  <c r="L17" i="2"/>
  <c r="L19" i="2" s="1"/>
  <c r="R14" i="2"/>
  <c r="S14" i="2"/>
  <c r="T14" i="2" s="1"/>
  <c r="H28" i="5"/>
  <c r="H6" i="5" s="1"/>
  <c r="H48" i="5" s="1"/>
  <c r="H42" i="5" s="1"/>
  <c r="C6" i="6" l="1"/>
  <c r="B11" i="6" s="1"/>
  <c r="L23" i="2" s="1"/>
  <c r="E11" i="5"/>
  <c r="H19" i="5" s="1"/>
  <c r="H59" i="5"/>
  <c r="H37" i="5" s="1"/>
  <c r="E42" i="5" s="1"/>
  <c r="H50" i="5" s="1"/>
  <c r="M25" i="2" s="1"/>
  <c r="M23" i="2" l="1"/>
  <c r="O17" i="5"/>
  <c r="O28" i="5" s="1"/>
  <c r="O6" i="5" s="1"/>
  <c r="L11" i="5" s="1"/>
  <c r="O48" i="5" l="1"/>
  <c r="O59" i="5" s="1"/>
  <c r="O37" i="5" s="1"/>
  <c r="L42" i="5" s="1"/>
  <c r="O11" i="5"/>
  <c r="O19" i="5" s="1"/>
  <c r="M27" i="2" s="1"/>
  <c r="O42" i="5" l="1"/>
  <c r="O50" i="5" s="1"/>
  <c r="M29" i="2" s="1"/>
  <c r="M30" i="2" s="1"/>
  <c r="C10" i="7"/>
  <c r="C11" i="7" s="1"/>
  <c r="C12" i="7" s="1"/>
  <c r="C13" i="7" s="1"/>
  <c r="C14" i="7" s="1"/>
  <c r="C15" i="7" s="1"/>
  <c r="C16" i="7" s="1"/>
  <c r="C17" i="7" s="1"/>
  <c r="C18" i="7" s="1"/>
  <c r="C19" i="7" s="1"/>
  <c r="C20" i="7" s="1"/>
  <c r="C21" i="7" s="1"/>
  <c r="C22" i="7" s="1"/>
  <c r="C23" i="7" s="1"/>
  <c r="C24" i="7" s="1"/>
  <c r="C25" i="7" s="1"/>
  <c r="C26" i="7" s="1"/>
  <c r="C27" i="7" s="1"/>
  <c r="C28" i="7" s="1"/>
  <c r="C29" i="7" s="1"/>
  <c r="C30" i="7" s="1"/>
  <c r="C31" i="7" s="1"/>
  <c r="C32" i="7" s="1"/>
  <c r="C33" i="7" s="1"/>
  <c r="C34" i="7" s="1"/>
  <c r="C35" i="7" s="1"/>
  <c r="C36" i="7" s="1"/>
  <c r="C37" i="7" s="1"/>
  <c r="C38" i="7" s="1"/>
  <c r="C39" i="7" s="1"/>
  <c r="C40" i="7" s="1"/>
  <c r="C41" i="7" s="1"/>
  <c r="C42" i="7" s="1"/>
  <c r="C43" i="7" s="1"/>
  <c r="C44" i="7" s="1"/>
  <c r="C45" i="7" s="1"/>
  <c r="C46" i="7" s="1"/>
  <c r="C47" i="7" s="1"/>
  <c r="C48" i="7" s="1"/>
  <c r="C49" i="7" s="1"/>
  <c r="C50" i="7" s="1"/>
  <c r="C51" i="7" s="1"/>
  <c r="C52" i="7" s="1"/>
  <c r="C53" i="7" s="1"/>
  <c r="C54" i="7" s="1"/>
  <c r="C55" i="7" s="1"/>
  <c r="C56" i="7" s="1"/>
  <c r="C57" i="7" s="1"/>
  <c r="C58" i="7" s="1"/>
  <c r="C59" i="7" s="1"/>
  <c r="C60" i="7" s="1"/>
  <c r="C61" i="7" s="1"/>
  <c r="C62" i="7" s="1"/>
  <c r="C63" i="7" s="1"/>
  <c r="C64" i="7" s="1"/>
  <c r="C65" i="7" s="1"/>
  <c r="C66" i="7" s="1"/>
  <c r="C67" i="7" s="1"/>
  <c r="C68" i="7" s="1"/>
  <c r="C69" i="7" s="1"/>
  <c r="C70" i="7" s="1"/>
  <c r="C71" i="7" s="1"/>
  <c r="C72" i="7" s="1"/>
  <c r="C73" i="7" s="1"/>
  <c r="C74" i="7" s="1"/>
  <c r="C75" i="7" s="1"/>
  <c r="C76" i="7" s="1"/>
  <c r="C77" i="7" s="1"/>
  <c r="C78" i="7" s="1"/>
  <c r="C79" i="7" s="1"/>
  <c r="C80" i="7" s="1"/>
  <c r="C81" i="7" s="1"/>
  <c r="C82" i="7" s="1"/>
  <c r="C83" i="7" s="1"/>
  <c r="C84" i="7" s="1"/>
  <c r="C85" i="7" s="1"/>
  <c r="C86" i="7" s="1"/>
  <c r="C87" i="7" s="1"/>
  <c r="C88" i="7" s="1"/>
  <c r="C89" i="7" s="1"/>
  <c r="C90" i="7" s="1"/>
  <c r="C91" i="7" s="1"/>
  <c r="C92" i="7" s="1"/>
  <c r="C93" i="7" s="1"/>
  <c r="C94" i="7" s="1"/>
  <c r="C95" i="7" s="1"/>
  <c r="C96" i="7" s="1"/>
  <c r="C97" i="7" s="1"/>
  <c r="C98" i="7" s="1"/>
  <c r="C99" i="7" s="1"/>
  <c r="C100" i="7" s="1"/>
  <c r="C101" i="7" s="1"/>
  <c r="C102" i="7" s="1"/>
  <c r="C103" i="7" s="1"/>
  <c r="C104" i="7" s="1"/>
  <c r="C105" i="7" s="1"/>
  <c r="C106" i="7" s="1"/>
  <c r="C107" i="7" s="1"/>
  <c r="C108" i="7" s="1"/>
  <c r="C109" i="7" s="1"/>
  <c r="C110" i="7" s="1"/>
  <c r="C111" i="7" s="1"/>
  <c r="C112" i="7" s="1"/>
  <c r="C113" i="7" s="1"/>
  <c r="C114" i="7" s="1"/>
  <c r="C115" i="7" s="1"/>
  <c r="C116" i="7" s="1"/>
  <c r="C117" i="7" s="1"/>
  <c r="C118" i="7" s="1"/>
  <c r="C119" i="7" s="1"/>
  <c r="C120" i="7" s="1"/>
  <c r="C121" i="7" s="1"/>
  <c r="C122" i="7" s="1"/>
  <c r="C123" i="7" s="1"/>
  <c r="C124" i="7" s="1"/>
  <c r="C125" i="7" s="1"/>
  <c r="C126" i="7" s="1"/>
  <c r="C127" i="7" s="1"/>
  <c r="C128" i="7" s="1"/>
  <c r="C129" i="7" s="1"/>
  <c r="C130" i="7" s="1"/>
  <c r="C131" i="7" s="1"/>
  <c r="C132" i="7" s="1"/>
  <c r="C133" i="7" s="1"/>
  <c r="C134" i="7" s="1"/>
  <c r="C135" i="7" s="1"/>
  <c r="C136" i="7" s="1"/>
  <c r="C137" i="7" s="1"/>
  <c r="C138" i="7" s="1"/>
  <c r="C139" i="7" s="1"/>
  <c r="C140" i="7" s="1"/>
  <c r="C141" i="7" s="1"/>
  <c r="C142" i="7" s="1"/>
  <c r="C143" i="7" s="1"/>
  <c r="C144" i="7" s="1"/>
  <c r="C145" i="7" s="1"/>
  <c r="C146" i="7" s="1"/>
  <c r="C147" i="7" s="1"/>
  <c r="C148" i="7" s="1"/>
  <c r="C149" i="7" s="1"/>
  <c r="C150" i="7" s="1"/>
  <c r="C151" i="7" s="1"/>
  <c r="C152" i="7" s="1"/>
  <c r="C153" i="7" s="1"/>
  <c r="C154" i="7" s="1"/>
  <c r="C155" i="7" s="1"/>
  <c r="C156" i="7" s="1"/>
  <c r="C157" i="7" s="1"/>
  <c r="C158" i="7" s="1"/>
  <c r="C159" i="7" s="1"/>
  <c r="C160" i="7" s="1"/>
  <c r="C161" i="7" s="1"/>
  <c r="C162" i="7" s="1"/>
  <c r="C163" i="7" s="1"/>
  <c r="C164" i="7" s="1"/>
  <c r="C165" i="7" s="1"/>
  <c r="C166" i="7" s="1"/>
  <c r="C167" i="7" s="1"/>
  <c r="C168" i="7" s="1"/>
  <c r="C169" i="7" s="1"/>
  <c r="C170" i="7" s="1"/>
  <c r="C171" i="7" s="1"/>
  <c r="C172" i="7" s="1"/>
  <c r="C173" i="7" s="1"/>
  <c r="C174" i="7" s="1"/>
  <c r="C175" i="7" s="1"/>
  <c r="C176" i="7" s="1"/>
  <c r="C177" i="7" s="1"/>
  <c r="C178" i="7" s="1"/>
  <c r="C179" i="7" s="1"/>
  <c r="C18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tc={C94CAFD3-8EE3-4DB0-BDA0-E123DCA39CC6}</author>
    <author>tc={57FC2A63-61A7-45C1-B3B2-58F6C7B11F9D}</author>
  </authors>
  <commentList>
    <comment ref="I2" authorId="0" shapeId="0" xr:uid="{C94CAFD3-8EE3-4DB0-BDA0-E123DCA39CC6}">
      <text>
        <t>[스레드 댓글]
사용 중인 버전의 Excel에서 이 스레드 댓글을 읽을 수 있지만 파일을 이후 버전의 Excel에서 열면 편집 내용이 모두 제거됩니다. 자세한 정보: https://go.microsoft.com/fwlink/?linkid=870924.
댓글:
    QL=m*(i2-i1), m=QL/(I2-I1)</t>
      </text>
    </comment>
    <comment ref="I14" authorId="1" shapeId="0" xr:uid="{57FC2A63-61A7-45C1-B3B2-58F6C7B11F9D}">
      <text>
        <t>[스레드 댓글]
사용 중인 버전의 Excel에서 이 스레드 댓글을 읽을 수 있지만 파일을 이후 버전의 Excel에서 열면 편집 내용이 모두 제거됩니다. 자세한 정보: https://go.microsoft.com/fwlink/?linkid=870924.
댓글:
    -3도와 12~7도(냉각수) 사이의 대수평균 온도차</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tc={BB83EB54-FD1C-449E-A6AC-CEF51CFC16C1}</author>
    <author>tc={19C03E80-3B91-4B1F-BD89-67E5FD8E5E0D}</author>
    <author>tc={292CC965-B81C-4525-96A9-1E86EE6EB1CC}</author>
    <author>tc={094B454D-75CE-4D39-A878-AA1E2284DFDD}</author>
  </authors>
  <commentList>
    <comment ref="L13" authorId="0" shapeId="0" xr:uid="{BB83EB54-FD1C-449E-A6AC-CEF51CFC16C1}">
      <text>
        <t>[스레드 댓글]
사용 중인 버전의 Excel에서 이 스레드 댓글을 읽을 수 있지만 파일을 이후 버전의 Excel에서 열면 편집 내용이 모두 제거됩니다. 자세한 정보: https://go.microsoft.com/fwlink/?linkid=870924.
댓글:
    강의록7, 5페이지
열시스템 디자인 - 식6.48</t>
      </text>
    </comment>
    <comment ref="N13" authorId="1" shapeId="0" xr:uid="{19C03E80-3B91-4B1F-BD89-67E5FD8E5E0D}">
      <text>
        <t>[스레드 댓글]
사용 중인 버전의 Excel에서 이 스레드 댓글을 읽을 수 있지만 파일을 이후 버전의 Excel에서 열면 편집 내용이 모두 제거됩니다. 자세한 정보: https://go.microsoft.com/fwlink/?linkid=870924.
댓글:
    열시스템디자인-식 6.48
Petukhov-Kirillov</t>
      </text>
    </comment>
    <comment ref="P13" authorId="2" shapeId="0" xr:uid="{292CC965-B81C-4525-96A9-1E86EE6EB1CC}">
      <text>
        <t>[스레드 댓글]
사용 중인 버전의 Excel에서 이 스레드 댓글을 읽을 수 있지만 파일을 이후 버전의 Excel에서 열면 편집 내용이 모두 제거됩니다. 자세한 정보: https://go.microsoft.com/fwlink/?linkid=870924.
댓글:
    튜브를 통과하는 액체는 0.5~3.0을 권장함. 
본 프로젝트의 제한 조건은 3.0 미만</t>
      </text>
    </comment>
    <comment ref="N15" authorId="3" shapeId="0" xr:uid="{094B454D-75CE-4D39-A878-AA1E2284DFDD}">
      <text>
        <t>[스레드 댓글]
사용 중인 버전의 Excel에서 이 스레드 댓글을 읽을 수 있지만 파일을 이후 버전의 Excel에서 열면 편집 내용이 모두 제거됩니다. 자세한 정보: https://go.microsoft.com/fwlink/?linkid=870924.
댓글:
    10KM 배관에서의 마찰계수</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tc={E0DB1399-9E4F-498F-85D2-C11A28145908}</author>
    <author>tc={66625640-F2D1-4820-A5C1-85AAF5857A30}</author>
    <author>tc={47545DE3-2E07-49C0-B4D7-0BC40056F849}</author>
  </authors>
  <commentList>
    <comment ref="I2" authorId="0" shapeId="0" xr:uid="{E0DB1399-9E4F-498F-85D2-C11A28145908}">
      <text>
        <t>[스레드 댓글]
사용 중인 버전의 Excel에서 이 스레드 댓글을 읽을 수 있지만 파일을 이후 버전의 Excel에서 열면 편집 내용이 모두 제거됩니다. 자세한 정보: https://go.microsoft.com/fwlink/?linkid=870924.
댓글:
    Pt는 관 중심 사이의 간격</t>
      </text>
    </comment>
    <comment ref="J2" authorId="1" shapeId="0" xr:uid="{66625640-F2D1-4820-A5C1-85AAF5857A30}">
      <text>
        <t>[스레드 댓글]
사용 중인 버전의 Excel에서 이 스레드 댓글을 읽을 수 있지만 파일을 이후 버전의 Excel에서 열면 편집 내용이 모두 제거됩니다. 자세한 정보: https://go.microsoft.com/fwlink/?linkid=870924.
댓글:
    임의로 설정.
TEMA 규격 확인 후 수정할 것</t>
      </text>
    </comment>
    <comment ref="K2" authorId="2" shapeId="0" xr:uid="{47545DE3-2E07-49C0-B4D7-0BC40056F849}">
      <text>
        <t>[스레드 댓글]
사용 중인 버전의 Excel에서 이 스레드 댓글을 읽을 수 있지만 파일을 이후 버전의 Excel에서 열면 편집 내용이 모두 제거됩니다. 자세한 정보: https://go.microsoft.com/fwlink/?linkid=870924.
댓글:
    TEMA 규격</t>
      </text>
    </comment>
  </commentList>
</comments>
</file>

<file path=xl/sharedStrings.xml><?xml version="1.0" encoding="utf-8"?>
<sst xmlns="http://schemas.openxmlformats.org/spreadsheetml/2006/main" count="234" uniqueCount="130">
  <si>
    <t>냉각유체 출구온도 Th,o</t>
  </si>
  <si>
    <t>LNG 입구온도 Tc,i</t>
  </si>
  <si>
    <t>LNG 출구온도 Tc,o [K]</t>
    <phoneticPr fontId="1" type="noConversion"/>
  </si>
  <si>
    <t>냉각유체 입구온도 Th,i [K]</t>
    <phoneticPr fontId="1" type="noConversion"/>
  </si>
  <si>
    <r>
      <rPr>
        <sz val="11"/>
        <color theme="1"/>
        <rFont val="Calibri"/>
        <family val="3"/>
        <charset val="161"/>
      </rPr>
      <t>Δ</t>
    </r>
    <r>
      <rPr>
        <sz val="11"/>
        <color theme="1"/>
        <rFont val="맑은 고딕"/>
        <family val="2"/>
        <charset val="129"/>
        <scheme val="minor"/>
      </rPr>
      <t>T1 [Th,i-Tc,o]</t>
    </r>
    <phoneticPr fontId="1" type="noConversion"/>
  </si>
  <si>
    <r>
      <rPr>
        <sz val="11"/>
        <color theme="1"/>
        <rFont val="Calibri"/>
        <family val="2"/>
        <charset val="161"/>
      </rPr>
      <t>Δ</t>
    </r>
    <r>
      <rPr>
        <sz val="11"/>
        <color theme="1"/>
        <rFont val="맑은 고딕"/>
        <family val="2"/>
        <charset val="129"/>
        <scheme val="minor"/>
      </rPr>
      <t>T2 [Th,o-Tc,i]</t>
    </r>
    <phoneticPr fontId="1" type="noConversion"/>
  </si>
  <si>
    <t>⇒</t>
    <phoneticPr fontId="1" type="noConversion"/>
  </si>
  <si>
    <r>
      <t xml:space="preserve">대수평균 온도차 </t>
    </r>
    <r>
      <rPr>
        <sz val="11"/>
        <color theme="1"/>
        <rFont val="Calibri"/>
        <family val="2"/>
        <charset val="161"/>
      </rPr>
      <t>Δ</t>
    </r>
    <r>
      <rPr>
        <sz val="11"/>
        <color theme="1"/>
        <rFont val="맑은 고딕"/>
        <family val="2"/>
        <charset val="161"/>
      </rPr>
      <t>T</t>
    </r>
    <r>
      <rPr>
        <vertAlign val="subscript"/>
        <sz val="11"/>
        <color theme="1"/>
        <rFont val="맑은 고딕"/>
        <family val="3"/>
        <charset val="129"/>
      </rPr>
      <t>lm</t>
    </r>
    <phoneticPr fontId="1" type="noConversion"/>
  </si>
  <si>
    <t>튜브 내경 [m]</t>
    <phoneticPr fontId="1" type="noConversion"/>
  </si>
  <si>
    <t>전도 계수 k [W/mk]</t>
    <phoneticPr fontId="1" type="noConversion"/>
  </si>
  <si>
    <t>Pr 수</t>
    <phoneticPr fontId="1" type="noConversion"/>
  </si>
  <si>
    <t>Re 수</t>
    <phoneticPr fontId="1" type="noConversion"/>
  </si>
  <si>
    <t>마찰계수</t>
    <phoneticPr fontId="1" type="noConversion"/>
  </si>
  <si>
    <t>유체 압력 [Mpa]</t>
    <phoneticPr fontId="1" type="noConversion"/>
  </si>
  <si>
    <t>유속 [m/s]</t>
    <phoneticPr fontId="1" type="noConversion"/>
  </si>
  <si>
    <t>열교환률 Q [MW]</t>
    <phoneticPr fontId="1" type="noConversion"/>
  </si>
  <si>
    <t>↓↓</t>
    <phoneticPr fontId="1" type="noConversion"/>
  </si>
  <si>
    <r>
      <t>냉각유체 비열 C</t>
    </r>
    <r>
      <rPr>
        <vertAlign val="subscript"/>
        <sz val="11"/>
        <color theme="1"/>
        <rFont val="맑은 고딕"/>
        <family val="3"/>
        <charset val="129"/>
        <scheme val="minor"/>
      </rPr>
      <t>p</t>
    </r>
    <r>
      <rPr>
        <sz val="11"/>
        <color theme="1"/>
        <rFont val="맑은 고딕"/>
        <family val="2"/>
        <charset val="129"/>
        <scheme val="minor"/>
      </rPr>
      <t xml:space="preserve"> [J/KG K]</t>
    </r>
    <phoneticPr fontId="1" type="noConversion"/>
  </si>
  <si>
    <t>냉각유체 유량 [kg/s]</t>
    <phoneticPr fontId="1" type="noConversion"/>
  </si>
  <si>
    <t>관의 개수</t>
    <phoneticPr fontId="1" type="noConversion"/>
  </si>
  <si>
    <r>
      <t>밀도 [kg/m</t>
    </r>
    <r>
      <rPr>
        <vertAlign val="superscript"/>
        <sz val="11"/>
        <color theme="1"/>
        <rFont val="맑은 고딕"/>
        <family val="3"/>
        <charset val="129"/>
        <scheme val="minor"/>
      </rPr>
      <t>3</t>
    </r>
    <r>
      <rPr>
        <sz val="11"/>
        <color theme="1"/>
        <rFont val="맑은 고딕"/>
        <family val="3"/>
        <charset val="129"/>
        <scheme val="minor"/>
      </rPr>
      <t>]</t>
    </r>
    <phoneticPr fontId="1" type="noConversion"/>
  </si>
  <si>
    <t>nu 수</t>
    <phoneticPr fontId="1" type="noConversion"/>
  </si>
  <si>
    <r>
      <t>점성계수 [Ns/m</t>
    </r>
    <r>
      <rPr>
        <vertAlign val="superscript"/>
        <sz val="11"/>
        <color theme="1"/>
        <rFont val="맑은 고딕"/>
        <family val="3"/>
        <charset val="129"/>
        <scheme val="minor"/>
      </rPr>
      <t>2</t>
    </r>
    <r>
      <rPr>
        <sz val="11"/>
        <color theme="1"/>
        <rFont val="맑은 고딕"/>
        <family val="3"/>
        <charset val="129"/>
        <scheme val="minor"/>
      </rPr>
      <t>]</t>
    </r>
    <phoneticPr fontId="1" type="noConversion"/>
  </si>
  <si>
    <r>
      <t>내부 열전달 계수 h</t>
    </r>
    <r>
      <rPr>
        <vertAlign val="subscript"/>
        <sz val="11"/>
        <color theme="1"/>
        <rFont val="맑은 고딕"/>
        <family val="3"/>
        <charset val="129"/>
        <scheme val="minor"/>
      </rPr>
      <t>i</t>
    </r>
    <r>
      <rPr>
        <sz val="11"/>
        <color theme="1"/>
        <rFont val="맑은 고딕"/>
        <family val="2"/>
        <charset val="129"/>
        <scheme val="minor"/>
      </rPr>
      <t xml:space="preserve"> [W/m</t>
    </r>
    <r>
      <rPr>
        <vertAlign val="superscript"/>
        <sz val="11"/>
        <color theme="1"/>
        <rFont val="맑은 고딕"/>
        <family val="3"/>
        <charset val="129"/>
        <scheme val="minor"/>
      </rPr>
      <t xml:space="preserve">2 </t>
    </r>
    <r>
      <rPr>
        <sz val="11"/>
        <color theme="1"/>
        <rFont val="맑은 고딕"/>
        <family val="3"/>
        <charset val="129"/>
        <scheme val="minor"/>
      </rPr>
      <t>K]</t>
    </r>
    <phoneticPr fontId="1" type="noConversion"/>
  </si>
  <si>
    <t>냉각 유체 물성치</t>
    <phoneticPr fontId="1" type="noConversion"/>
  </si>
  <si>
    <t>내부 유동 설정</t>
    <phoneticPr fontId="1" type="noConversion"/>
  </si>
  <si>
    <t>계산값</t>
    <phoneticPr fontId="1" type="noConversion"/>
  </si>
  <si>
    <r>
      <rPr>
        <b/>
        <sz val="12"/>
        <color rgb="FFFF0000"/>
        <rFont val="맑은 고딕"/>
        <family val="3"/>
        <charset val="129"/>
      </rPr>
      <t>↓↓</t>
    </r>
    <r>
      <rPr>
        <b/>
        <sz val="12"/>
        <color rgb="FFFF0000"/>
        <rFont val="맑은 고딕"/>
        <family val="3"/>
        <charset val="129"/>
        <scheme val="minor"/>
      </rPr>
      <t>직접 입력할 것!! ↓↓</t>
    </r>
    <phoneticPr fontId="1" type="noConversion"/>
  </si>
  <si>
    <t>추가 고려사항</t>
    <phoneticPr fontId="1" type="noConversion"/>
  </si>
  <si>
    <t>압력강하 [kpa]</t>
    <phoneticPr fontId="1" type="noConversion"/>
  </si>
  <si>
    <t>외부 열전달 계수 ho [W/m2 K]</t>
    <phoneticPr fontId="1" type="noConversion"/>
  </si>
  <si>
    <t>≪</t>
    <phoneticPr fontId="1" type="noConversion"/>
  </si>
  <si>
    <t>LNG 유량</t>
    <phoneticPr fontId="1" type="noConversion"/>
  </si>
  <si>
    <t>엔탈피 차 [J/KG]</t>
    <phoneticPr fontId="1" type="noConversion"/>
  </si>
  <si>
    <t>Temperature</t>
  </si>
  <si>
    <t>Density</t>
  </si>
  <si>
    <t>Cp</t>
  </si>
  <si>
    <t>Therm. Cond.</t>
  </si>
  <si>
    <t>Viscosity</t>
  </si>
  <si>
    <t>(K)</t>
  </si>
  <si>
    <t>(kg/m?)</t>
  </si>
  <si>
    <t>(kJ/kg-K)</t>
  </si>
  <si>
    <t>(W/m-K)</t>
  </si>
  <si>
    <t>(?Pa-s)</t>
  </si>
  <si>
    <t>205에서 비열 피크</t>
    <phoneticPr fontId="1" type="noConversion"/>
  </si>
  <si>
    <t>NU 수 근사식 (검산)</t>
    <phoneticPr fontId="1" type="noConversion"/>
  </si>
  <si>
    <t>내부 열전달 계수 hi [W/m2 K]</t>
  </si>
  <si>
    <t>근사식 
결과</t>
    <phoneticPr fontId="1" type="noConversion"/>
  </si>
  <si>
    <t>112K~190K</t>
    <phoneticPr fontId="1" type="noConversion"/>
  </si>
  <si>
    <t>190K~205K</t>
    <phoneticPr fontId="1" type="noConversion"/>
  </si>
  <si>
    <t>205K~220K</t>
    <phoneticPr fontId="1" type="noConversion"/>
  </si>
  <si>
    <t>220K~283K</t>
    <phoneticPr fontId="1" type="noConversion"/>
  </si>
  <si>
    <t>온도 구간 설정 [LNG]</t>
    <phoneticPr fontId="1" type="noConversion"/>
  </si>
  <si>
    <t>구간 112~190K</t>
    <phoneticPr fontId="1" type="noConversion"/>
  </si>
  <si>
    <t>LNG 유량 [kg/s]</t>
    <phoneticPr fontId="1" type="noConversion"/>
  </si>
  <si>
    <t>LNG비열 (구간 평균값 사용)</t>
    <phoneticPr fontId="1" type="noConversion"/>
  </si>
  <si>
    <t xml:space="preserve"> 냉각유체 출구온도</t>
    <phoneticPr fontId="1" type="noConversion"/>
  </si>
  <si>
    <t xml:space="preserve">                       ⇒</t>
    <phoneticPr fontId="1" type="noConversion"/>
  </si>
  <si>
    <t>구간 190~205K</t>
    <phoneticPr fontId="1" type="noConversion"/>
  </si>
  <si>
    <t>구간 205~220K</t>
    <phoneticPr fontId="1" type="noConversion"/>
  </si>
  <si>
    <t>구간 220~283K</t>
    <phoneticPr fontId="1" type="noConversion"/>
  </si>
  <si>
    <t xml:space="preserve">                   ⇒</t>
    <phoneticPr fontId="1" type="noConversion"/>
  </si>
  <si>
    <t>냉각유체 입구온도 Th,i [K]</t>
  </si>
  <si>
    <t>냉각유체 출구온도 Th,o</t>
    <phoneticPr fontId="1" type="noConversion"/>
  </si>
  <si>
    <t>냉각유체 유량</t>
    <phoneticPr fontId="1" type="noConversion"/>
  </si>
  <si>
    <t>LNG 입구온도</t>
    <phoneticPr fontId="1" type="noConversion"/>
  </si>
  <si>
    <t>냉각유체 온도</t>
    <phoneticPr fontId="1" type="noConversion"/>
  </si>
  <si>
    <t>냉각유체 비열</t>
    <phoneticPr fontId="1" type="noConversion"/>
  </si>
  <si>
    <t>LNG 비열</t>
    <phoneticPr fontId="1" type="noConversion"/>
  </si>
  <si>
    <t>관 개수</t>
    <phoneticPr fontId="1" type="noConversion"/>
  </si>
  <si>
    <t>배플 지름 [m]</t>
    <phoneticPr fontId="1" type="noConversion"/>
  </si>
  <si>
    <t>배플 지름 [mm]</t>
    <phoneticPr fontId="1" type="noConversion"/>
  </si>
  <si>
    <t>쉘 내경 [m]</t>
    <phoneticPr fontId="1" type="noConversion"/>
  </si>
  <si>
    <t>배플 간격 [m]</t>
    <phoneticPr fontId="1" type="noConversion"/>
  </si>
  <si>
    <t>240K R-290</t>
    <phoneticPr fontId="1" type="noConversion"/>
  </si>
  <si>
    <t>q=mc(T1-T2) 이용</t>
    <phoneticPr fontId="1" type="noConversion"/>
  </si>
  <si>
    <t>고려사항</t>
    <phoneticPr fontId="1" type="noConversion"/>
  </si>
  <si>
    <t>입출구온도를 어떻게 할 것인가? 관의 개수는 어떻게 할 것인가?</t>
    <phoneticPr fontId="1" type="noConversion"/>
  </si>
  <si>
    <t>냉각유체 변경</t>
    <phoneticPr fontId="1" type="noConversion"/>
  </si>
  <si>
    <t>관 개수 변경</t>
    <phoneticPr fontId="1" type="noConversion"/>
  </si>
  <si>
    <t>관 지름 변경</t>
    <phoneticPr fontId="1" type="noConversion"/>
  </si>
  <si>
    <t>가장 펌프 효율이 덜 드는 조건으로 선정</t>
    <phoneticPr fontId="1" type="noConversion"/>
  </si>
  <si>
    <t>이후 10km 관에서,</t>
    <phoneticPr fontId="1" type="noConversion"/>
  </si>
  <si>
    <t>유속이 빠를 경우 압력강하가 커짐.</t>
    <phoneticPr fontId="1" type="noConversion"/>
  </si>
  <si>
    <t>그렇다면 유속을 낮추기 위해 관을 넓혀야 하는데</t>
    <phoneticPr fontId="1" type="noConversion"/>
  </si>
  <si>
    <t>그러면 외부로 빼앗기는 열량이 커짐</t>
    <phoneticPr fontId="1" type="noConversion"/>
  </si>
  <si>
    <t>응축기에 도달할 때, 냉각유체의 온도는 몇 k이 적당할까?</t>
    <phoneticPr fontId="1" type="noConversion"/>
  </si>
  <si>
    <t>이걸 먼저 계산해서, 10km 배관 사이의 열교환량을 정의하자.</t>
    <phoneticPr fontId="1" type="noConversion"/>
  </si>
  <si>
    <t>길이 [m]</t>
    <phoneticPr fontId="1" type="noConversion"/>
  </si>
  <si>
    <t>~관 길이</t>
    <phoneticPr fontId="1" type="noConversion"/>
  </si>
  <si>
    <t>배관 유속</t>
    <phoneticPr fontId="1" type="noConversion"/>
  </si>
  <si>
    <t>mpa 변환</t>
    <phoneticPr fontId="1" type="noConversion"/>
  </si>
  <si>
    <t>외경 25.4도 고려할 것</t>
    <phoneticPr fontId="1" type="noConversion"/>
  </si>
  <si>
    <t>배관(10km) 압력강하</t>
    <phoneticPr fontId="1" type="noConversion"/>
  </si>
  <si>
    <t>10km 배관 내경 [m]</t>
    <phoneticPr fontId="1" type="noConversion"/>
  </si>
  <si>
    <r>
      <t>J</t>
    </r>
    <r>
      <rPr>
        <vertAlign val="subscript"/>
        <sz val="11"/>
        <color theme="1"/>
        <rFont val="맑은 고딕"/>
        <family val="3"/>
        <charset val="129"/>
        <scheme val="minor"/>
      </rPr>
      <t>H</t>
    </r>
    <phoneticPr fontId="1" type="noConversion"/>
  </si>
  <si>
    <r>
      <t>d</t>
    </r>
    <r>
      <rPr>
        <vertAlign val="subscript"/>
        <sz val="11"/>
        <color theme="1"/>
        <rFont val="맑은 고딕"/>
        <family val="3"/>
        <charset val="129"/>
        <scheme val="minor"/>
      </rPr>
      <t>e</t>
    </r>
    <phoneticPr fontId="1" type="noConversion"/>
  </si>
  <si>
    <t>관 외경</t>
    <phoneticPr fontId="1" type="noConversion"/>
  </si>
  <si>
    <t>pt [m]</t>
    <phoneticPr fontId="1" type="noConversion"/>
  </si>
  <si>
    <t>점성계수</t>
    <phoneticPr fontId="1" type="noConversion"/>
  </si>
  <si>
    <t>전도계수</t>
    <phoneticPr fontId="1" type="noConversion"/>
  </si>
  <si>
    <t>쉘측 유동 속도</t>
    <phoneticPr fontId="1" type="noConversion"/>
  </si>
  <si>
    <t>밀도</t>
    <phoneticPr fontId="1" type="noConversion"/>
  </si>
  <si>
    <t>kern's method 이용</t>
    <phoneticPr fontId="1" type="noConversion"/>
  </si>
  <si>
    <t xml:space="preserve">                                                          </t>
    <phoneticPr fontId="1" type="noConversion"/>
  </si>
  <si>
    <t>Prandtl</t>
  </si>
  <si>
    <t>물성치는 구간 평균값 사용</t>
    <phoneticPr fontId="1" type="noConversion"/>
  </si>
  <si>
    <r>
      <t>G</t>
    </r>
    <r>
      <rPr>
        <vertAlign val="subscript"/>
        <sz val="11"/>
        <color theme="1"/>
        <rFont val="맑은 고딕"/>
        <family val="3"/>
        <charset val="129"/>
        <scheme val="minor"/>
      </rPr>
      <t>s</t>
    </r>
    <r>
      <rPr>
        <sz val="11"/>
        <color theme="1"/>
        <rFont val="맑은 고딕"/>
        <family val="2"/>
        <charset val="129"/>
        <scheme val="minor"/>
      </rPr>
      <t xml:space="preserve"> (질량유속) [질량유량/유효면적]</t>
    </r>
    <phoneticPr fontId="1" type="noConversion"/>
  </si>
  <si>
    <r>
      <t>A</t>
    </r>
    <r>
      <rPr>
        <vertAlign val="subscript"/>
        <sz val="11"/>
        <color theme="1"/>
        <rFont val="맑은 고딕"/>
        <family val="3"/>
        <charset val="129"/>
        <scheme val="minor"/>
      </rPr>
      <t>s</t>
    </r>
    <r>
      <rPr>
        <sz val="11"/>
        <color theme="1"/>
        <rFont val="맑은 고딕"/>
        <family val="2"/>
        <charset val="129"/>
        <scheme val="minor"/>
      </rPr>
      <t xml:space="preserve"> (유효면적)</t>
    </r>
    <phoneticPr fontId="1" type="noConversion"/>
  </si>
  <si>
    <t xml:space="preserve">11월 25일 (금), 외부열전달 계수를 근사적인 방법으로 계산, 관 길이 계산, 관 개수 및 입출구온도 수정
</t>
    <phoneticPr fontId="1" type="noConversion"/>
  </si>
  <si>
    <t>총합 열전달 계수 U [W/m2 K]</t>
    <phoneticPr fontId="1" type="noConversion"/>
  </si>
  <si>
    <t>관 길이</t>
    <phoneticPr fontId="1" type="noConversion"/>
  </si>
  <si>
    <t>250K r-717 (암모니아)</t>
    <phoneticPr fontId="1" type="noConversion"/>
  </si>
  <si>
    <t>240K R-600a</t>
    <phoneticPr fontId="1" type="noConversion"/>
  </si>
  <si>
    <t>1. 다른 냉각유체에 비해 암모니아의 조건이 월등하게 좋음. 장거리 배관 및 기화기 설계시 암모니아의 사용이 불가능한지
2. 총합 열전달계수를 구하는 과정에서, 기화기 외부 온도는 고려하지 않았음. 
3. 삼각형 튜브 배열은 세척면에서 불리함을 가짐. 기화기에서 세척이 중요한 부분인지 알아야함
4. TEMA 125P에 쉘측 진동수 관련 내용 확인
5. TEMA 233P 튜브 규격 있음. 관 직경을 늘릴 때 참고
6. 냉매 선정 근거는 끓는점 어는점 및 기타 물성치로 순위 매길 것
7. 튜브 길이에 대한 제한 확인, 고정 튜브형이 15m?? 가능한 한 짧게 설계?</t>
    <phoneticPr fontId="1" type="noConversion"/>
  </si>
  <si>
    <r>
      <t>Q</t>
    </r>
    <r>
      <rPr>
        <vertAlign val="subscript"/>
        <sz val="11"/>
        <color theme="1"/>
        <rFont val="맑은 고딕"/>
        <family val="3"/>
        <charset val="129"/>
        <scheme val="minor"/>
      </rPr>
      <t>L</t>
    </r>
    <r>
      <rPr>
        <sz val="11"/>
        <color theme="1"/>
        <rFont val="맑은 고딕"/>
        <family val="3"/>
        <charset val="129"/>
        <scheme val="minor"/>
      </rPr>
      <t xml:space="preserve"> [MW]</t>
    </r>
    <phoneticPr fontId="1" type="noConversion"/>
  </si>
  <si>
    <r>
      <t>T</t>
    </r>
    <r>
      <rPr>
        <vertAlign val="subscript"/>
        <sz val="11"/>
        <color theme="1"/>
        <rFont val="맑은 고딕"/>
        <family val="3"/>
        <charset val="129"/>
        <scheme val="minor"/>
      </rPr>
      <t xml:space="preserve">L </t>
    </r>
    <r>
      <rPr>
        <sz val="11"/>
        <color theme="1"/>
        <rFont val="맑은 고딕"/>
        <family val="3"/>
        <charset val="129"/>
        <scheme val="minor"/>
      </rPr>
      <t>[</t>
    </r>
    <r>
      <rPr>
        <sz val="11"/>
        <color theme="1"/>
        <rFont val="맑은 고딕"/>
        <family val="3"/>
        <charset val="129"/>
      </rPr>
      <t>℃]</t>
    </r>
    <phoneticPr fontId="1" type="noConversion"/>
  </si>
  <si>
    <r>
      <t>T</t>
    </r>
    <r>
      <rPr>
        <vertAlign val="subscript"/>
        <sz val="11"/>
        <color theme="1"/>
        <rFont val="맑은 고딕"/>
        <family val="3"/>
        <charset val="129"/>
        <scheme val="minor"/>
      </rPr>
      <t xml:space="preserve">H </t>
    </r>
    <r>
      <rPr>
        <sz val="11"/>
        <color theme="1"/>
        <rFont val="맑은 고딕"/>
        <family val="3"/>
        <charset val="129"/>
        <scheme val="minor"/>
      </rPr>
      <t>[</t>
    </r>
    <r>
      <rPr>
        <sz val="11"/>
        <color theme="1"/>
        <rFont val="맑은 고딕"/>
        <family val="3"/>
        <charset val="129"/>
      </rPr>
      <t>℃]</t>
    </r>
    <phoneticPr fontId="1" type="noConversion"/>
  </si>
  <si>
    <t>14+W(압축 일)</t>
    <phoneticPr fontId="1" type="noConversion"/>
  </si>
  <si>
    <r>
      <t>W</t>
    </r>
    <r>
      <rPr>
        <vertAlign val="subscript"/>
        <sz val="11"/>
        <color theme="1"/>
        <rFont val="맑은 고딕"/>
        <family val="3"/>
        <charset val="129"/>
        <scheme val="minor"/>
      </rPr>
      <t>C</t>
    </r>
    <phoneticPr fontId="1" type="noConversion"/>
  </si>
  <si>
    <r>
      <t>Q</t>
    </r>
    <r>
      <rPr>
        <vertAlign val="subscript"/>
        <sz val="11"/>
        <color theme="1"/>
        <rFont val="맑은 고딕"/>
        <family val="3"/>
        <charset val="129"/>
        <scheme val="minor"/>
      </rPr>
      <t>H</t>
    </r>
    <r>
      <rPr>
        <sz val="11"/>
        <color theme="1"/>
        <rFont val="맑은 고딕"/>
        <family val="3"/>
        <charset val="129"/>
        <scheme val="minor"/>
      </rPr>
      <t xml:space="preserve"> [MW]</t>
    </r>
    <phoneticPr fontId="1" type="noConversion"/>
  </si>
  <si>
    <t>냉각수 유량 [kg/s]</t>
    <phoneticPr fontId="1" type="noConversion"/>
  </si>
  <si>
    <r>
      <t>W</t>
    </r>
    <r>
      <rPr>
        <vertAlign val="subscript"/>
        <sz val="11"/>
        <color theme="1"/>
        <rFont val="맑은 고딕"/>
        <family val="3"/>
        <charset val="129"/>
        <scheme val="minor"/>
      </rPr>
      <t>min</t>
    </r>
    <phoneticPr fontId="1" type="noConversion"/>
  </si>
  <si>
    <r>
      <t>i</t>
    </r>
    <r>
      <rPr>
        <vertAlign val="subscript"/>
        <sz val="11"/>
        <color theme="1"/>
        <rFont val="맑은 고딕"/>
        <family val="3"/>
        <charset val="129"/>
        <scheme val="minor"/>
      </rPr>
      <t>c,1</t>
    </r>
    <r>
      <rPr>
        <sz val="11"/>
        <color theme="1"/>
        <rFont val="맑은 고딕"/>
        <family val="2"/>
        <charset val="129"/>
        <scheme val="minor"/>
      </rPr>
      <t xml:space="preserve"> [KJ/kg]</t>
    </r>
    <phoneticPr fontId="1" type="noConversion"/>
  </si>
  <si>
    <r>
      <t>i</t>
    </r>
    <r>
      <rPr>
        <vertAlign val="subscript"/>
        <sz val="11"/>
        <color theme="1"/>
        <rFont val="맑은 고딕"/>
        <family val="3"/>
        <charset val="129"/>
        <scheme val="minor"/>
      </rPr>
      <t>c,2</t>
    </r>
    <r>
      <rPr>
        <sz val="11"/>
        <color theme="1"/>
        <rFont val="맑은 고딕"/>
        <family val="2"/>
        <charset val="129"/>
        <scheme val="minor"/>
      </rPr>
      <t xml:space="preserve"> [KJ/kg]</t>
    </r>
    <phoneticPr fontId="1" type="noConversion"/>
  </si>
  <si>
    <r>
      <t>W</t>
    </r>
    <r>
      <rPr>
        <vertAlign val="subscript"/>
        <sz val="11"/>
        <color theme="1"/>
        <rFont val="맑은 고딕"/>
        <family val="3"/>
        <charset val="129"/>
        <scheme val="minor"/>
      </rPr>
      <t>C</t>
    </r>
    <r>
      <rPr>
        <sz val="11"/>
        <color theme="1"/>
        <rFont val="맑은 고딕"/>
        <family val="2"/>
        <charset val="129"/>
        <scheme val="minor"/>
      </rPr>
      <t xml:space="preserve"> (효율75%) [MW]</t>
    </r>
    <phoneticPr fontId="1" type="noConversion"/>
  </si>
  <si>
    <r>
      <t>i</t>
    </r>
    <r>
      <rPr>
        <vertAlign val="subscript"/>
        <sz val="11"/>
        <color theme="1"/>
        <rFont val="맑은 고딕"/>
        <family val="3"/>
        <charset val="129"/>
        <scheme val="minor"/>
      </rPr>
      <t>3</t>
    </r>
    <phoneticPr fontId="1" type="noConversion"/>
  </si>
  <si>
    <r>
      <t>i</t>
    </r>
    <r>
      <rPr>
        <vertAlign val="subscript"/>
        <sz val="11"/>
        <color theme="1"/>
        <rFont val="맑은 고딕"/>
        <family val="3"/>
        <charset val="129"/>
        <scheme val="minor"/>
      </rPr>
      <t>2</t>
    </r>
    <phoneticPr fontId="1" type="noConversion"/>
  </si>
  <si>
    <r>
      <t>i</t>
    </r>
    <r>
      <rPr>
        <vertAlign val="subscript"/>
        <sz val="11"/>
        <color theme="1"/>
        <rFont val="맑은 고딕"/>
        <family val="3"/>
        <charset val="129"/>
        <scheme val="minor"/>
      </rPr>
      <t>1</t>
    </r>
    <phoneticPr fontId="1" type="noConversion"/>
  </si>
  <si>
    <r>
      <t>i</t>
    </r>
    <r>
      <rPr>
        <vertAlign val="subscript"/>
        <sz val="11"/>
        <color theme="1"/>
        <rFont val="맑은 고딕"/>
        <family val="3"/>
        <charset val="129"/>
        <scheme val="minor"/>
      </rPr>
      <t>4</t>
    </r>
    <r>
      <rPr>
        <sz val="11"/>
        <color theme="1"/>
        <rFont val="맑은 고딕"/>
        <family val="2"/>
        <charset val="129"/>
        <scheme val="minor"/>
      </rPr>
      <t xml:space="preserve"> (=i3)</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</si>
</sst>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맑은 고딕"/>
      <family val="2"/>
      <charset val="129"/>
      <scheme val="minor"/>
    </font>
    <font>
      <sz val="8"/>
      <name val="맑은 고딕"/>
      <family val="2"/>
      <charset val="129"/>
      <scheme val="minor"/>
    </font>
    <font>
      <sz val="11"/>
      <color theme="1"/>
      <name val="맑은 고딕"/>
      <family val="3"/>
      <charset val="129"/>
    </font>
    <font>
      <sz val="11"/>
      <color theme="1"/>
      <name val="Calibri"/>
      <family val="3"/>
      <charset val="161"/>
    </font>
    <font>
      <sz val="11"/>
      <color theme="1"/>
      <name val="맑은 고딕"/>
      <family val="3"/>
      <charset val="161"/>
      <scheme val="minor"/>
    </font>
    <font>
      <sz val="11"/>
      <color theme="1"/>
      <name val="Calibri"/>
      <family val="2"/>
      <charset val="161"/>
    </font>
    <font>
      <sz val="11"/>
      <color theme="1"/>
      <name val="맑은 고딕"/>
      <family val="2"/>
      <charset val="161"/>
      <scheme val="minor"/>
    </font>
    <font>
      <b/>
      <sz val="14"/>
      <color theme="1"/>
      <name val="맑은 고딕"/>
      <family val="3"/>
      <charset val="129"/>
    </font>
    <font>
      <sz val="11"/>
      <color theme="1"/>
      <name val="맑은 고딕"/>
      <family val="2"/>
      <charset val="161"/>
    </font>
    <font>
      <vertAlign val="subscript"/>
      <sz val="11"/>
      <color theme="1"/>
      <name val="맑은 고딕"/>
      <family val="3"/>
      <charset val="129"/>
      <scheme val="minor"/>
    </font>
    <font>
      <vertAlign val="subscript"/>
      <sz val="11"/>
      <color theme="1"/>
      <name val="맑은 고딕"/>
      <family val="3"/>
      <charset val="129"/>
    </font>
    <font>
      <sz val="14"/>
      <color theme="1"/>
      <name val="맑은 고딕"/>
      <family val="3"/>
      <charset val="129"/>
      <scheme val="minor"/>
    </font>
    <font>
      <sz val="11"/>
      <color theme="1"/>
      <name val="맑은 고딕"/>
      <family val="3"/>
      <charset val="129"/>
      <scheme val="minor"/>
    </font>
    <font>
      <vertAlign val="superscript"/>
      <sz val="11"/>
      <color theme="1"/>
      <name val="맑은 고딕"/>
      <family val="3"/>
      <charset val="129"/>
      <scheme val="minor"/>
    </font>
    <font>
      <b/>
      <sz val="12"/>
      <color rgb="FFFF0000"/>
      <name val="맑은 고딕"/>
      <family val="3"/>
      <charset val="129"/>
      <scheme val="minor"/>
    </font>
    <font>
      <b/>
      <sz val="12"/>
      <color rgb="FFFF0000"/>
      <name val="맑은 고딕"/>
      <family val="3"/>
      <charset val="129"/>
    </font>
    <font>
      <b/>
      <sz val="11"/>
      <color rgb="FF0070C0"/>
      <name val="맑은 고딕"/>
      <family val="3"/>
      <charset val="129"/>
      <scheme val="minor"/>
    </font>
    <font>
      <sz val="9"/>
      <color indexed="81"/>
      <name val="Tahoma"/>
      <family val="2"/>
    </font>
  </fonts>
  <fills count="15">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7C8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CCCC"/>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style="medium">
        <color rgb="FF0070C0"/>
      </left>
      <right style="medium">
        <color rgb="FF0070C0"/>
      </right>
      <top style="medium">
        <color rgb="FF0070C0"/>
      </top>
      <bottom style="medium">
        <color rgb="FF0070C0"/>
      </bottom>
      <diagonal/>
    </border>
    <border>
      <left style="medium">
        <color rgb="FF0070C0"/>
      </left>
      <right style="medium">
        <color rgb="FF0070C0"/>
      </right>
      <top style="medium">
        <color rgb="FF0070C0"/>
      </top>
      <bottom/>
      <diagonal/>
    </border>
    <border>
      <left style="medium">
        <color rgb="FF0070C0"/>
      </left>
      <right style="medium">
        <color rgb="FF0070C0"/>
      </right>
      <top style="medium">
        <color theme="4"/>
      </top>
      <bottom style="medium">
        <color rgb="FF0070C0"/>
      </bottom>
      <diagonal/>
    </border>
    <border>
      <left style="medium">
        <color rgb="FF0070C0"/>
      </left>
      <right style="medium">
        <color rgb="FF0070C0"/>
      </right>
      <top/>
      <bottom style="medium">
        <color rgb="FF0070C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alignment vertical="center"/>
    </xf>
  </cellStyleXfs>
  <cellXfs count="50">
    <xf numFmtId="0" fontId="0" fillId="0" borderId="0" xfId="0">
      <alignment vertical="center"/>
    </xf>
    <xf numFmtId="0" fontId="0" fillId="2" borderId="1" xfId="0" applyFill="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4" fillId="4" borderId="1" xfId="0" applyFont="1" applyFill="1" applyBorder="1" applyAlignment="1">
      <alignment horizontal="center" vertical="center"/>
    </xf>
    <xf numFmtId="0" fontId="0" fillId="4" borderId="1" xfId="0" applyFill="1" applyBorder="1" applyAlignment="1">
      <alignment horizontal="center" vertical="center"/>
    </xf>
    <xf numFmtId="0" fontId="6" fillId="4" borderId="1" xfId="0" applyFont="1" applyFill="1" applyBorder="1" applyAlignment="1">
      <alignment horizontal="center" vertical="center"/>
    </xf>
    <xf numFmtId="0" fontId="0" fillId="0" borderId="0" xfId="0" applyAlignment="1">
      <alignment horizontal="center" vertical="center"/>
    </xf>
    <xf numFmtId="0" fontId="8" fillId="5" borderId="1" xfId="0" applyFont="1"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0" xfId="0" applyFill="1">
      <alignment vertical="center"/>
    </xf>
    <xf numFmtId="0" fontId="0" fillId="7" borderId="1" xfId="0" applyFill="1" applyBorder="1" applyAlignment="1">
      <alignment horizontal="center" vertical="center"/>
    </xf>
    <xf numFmtId="0" fontId="2" fillId="0" borderId="0" xfId="0" applyFont="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14" fillId="0" borderId="1" xfId="0" applyFont="1" applyBorder="1" applyAlignment="1">
      <alignment horizontal="center" vertical="center"/>
    </xf>
    <xf numFmtId="0" fontId="12" fillId="0" borderId="0" xfId="0" applyFont="1" applyAlignment="1">
      <alignment horizontal="center" vertical="center"/>
    </xf>
    <xf numFmtId="0" fontId="0" fillId="8" borderId="1" xfId="0" applyFill="1" applyBorder="1">
      <alignment vertical="center"/>
    </xf>
    <xf numFmtId="0" fontId="4" fillId="4" borderId="3" xfId="0" applyFont="1" applyFill="1" applyBorder="1" applyAlignment="1">
      <alignment horizontal="center" vertical="center"/>
    </xf>
    <xf numFmtId="0" fontId="0" fillId="4" borderId="3" xfId="0" applyFill="1" applyBorder="1" applyAlignment="1">
      <alignment horizontal="center" vertical="center"/>
    </xf>
    <xf numFmtId="0" fontId="0" fillId="11" borderId="1" xfId="0" applyFill="1" applyBorder="1" applyAlignment="1">
      <alignment horizontal="center" vertical="center"/>
    </xf>
    <xf numFmtId="0" fontId="0" fillId="10" borderId="0" xfId="0" applyFill="1">
      <alignment vertical="center"/>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16" fillId="12" borderId="7" xfId="0" applyFont="1" applyFill="1" applyBorder="1" applyAlignment="1">
      <alignment horizontal="center" vertical="center"/>
    </xf>
    <xf numFmtId="0" fontId="16" fillId="12" borderId="8" xfId="0" applyFont="1" applyFill="1" applyBorder="1" applyAlignment="1">
      <alignment horizontal="center" vertical="center"/>
    </xf>
    <xf numFmtId="0" fontId="0" fillId="13" borderId="1" xfId="0" applyFill="1" applyBorder="1" applyAlignment="1">
      <alignment horizontal="center" vertical="center"/>
    </xf>
    <xf numFmtId="0" fontId="0" fillId="4" borderId="1" xfId="0" applyFill="1" applyBorder="1">
      <alignment vertical="center"/>
    </xf>
    <xf numFmtId="0" fontId="0" fillId="0" borderId="13" xfId="0" applyBorder="1" applyAlignment="1">
      <alignment horizontal="center" vertical="center"/>
    </xf>
    <xf numFmtId="0" fontId="0" fillId="8" borderId="14" xfId="0" applyFill="1" applyBorder="1">
      <alignment vertical="center"/>
    </xf>
    <xf numFmtId="0" fontId="0" fillId="0" borderId="15" xfId="0" applyBorder="1">
      <alignment vertical="center"/>
    </xf>
    <xf numFmtId="0" fontId="0" fillId="0" borderId="0" xfId="0" applyAlignment="1">
      <alignment horizontal="center" vertical="center" wrapText="1"/>
    </xf>
    <xf numFmtId="0" fontId="0" fillId="0" borderId="0" xfId="0" applyAlignment="1">
      <alignment horizontal="center" vertical="center"/>
    </xf>
    <xf numFmtId="0" fontId="14" fillId="0" borderId="0" xfId="0" applyFont="1" applyAlignment="1">
      <alignment horizontal="center" vertical="center"/>
    </xf>
    <xf numFmtId="0" fontId="7" fillId="0" borderId="4" xfId="0" applyFont="1"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1" fillId="0" borderId="0" xfId="0" applyFont="1" applyAlignment="1">
      <alignment horizontal="center" vertical="center" wrapText="1"/>
    </xf>
    <xf numFmtId="0" fontId="7" fillId="0" borderId="2" xfId="0" applyFont="1" applyBorder="1" applyAlignment="1">
      <alignment horizontal="center" vertical="center"/>
    </xf>
    <xf numFmtId="0" fontId="0" fillId="0" borderId="2"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7" fillId="0" borderId="0" xfId="0" applyFont="1" applyBorder="1" applyAlignment="1">
      <alignment horizontal="center" vertical="center"/>
    </xf>
    <xf numFmtId="0" fontId="0" fillId="0" borderId="0" xfId="0" applyBorder="1" applyAlignment="1">
      <alignment horizontal="center" vertical="center"/>
    </xf>
    <xf numFmtId="0" fontId="0" fillId="14" borderId="1" xfId="0" applyFill="1" applyBorder="1" applyAlignment="1">
      <alignment horizontal="center" vertical="center"/>
    </xf>
    <xf numFmtId="0" fontId="0" fillId="0" borderId="0" xfId="0" applyFill="1" applyBorder="1" applyAlignment="1">
      <alignment horizontal="center" vertical="center"/>
    </xf>
  </cellXfs>
  <cellStyles count="1">
    <cellStyle name="표준" xfId="0" builtinId="0"/>
  </cellStyles>
  <dxfs count="0"/>
  <tableStyles count="0" defaultTableStyle="TableStyleMedium2" defaultPivotStyle="PivotStyleLight16"/>
  <colors>
    <mruColors>
      <color rgb="FFFF7C80"/>
      <color rgb="FFFFCCCC"/>
      <color rgb="FFFF66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온도변화</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v>LNG 온도변화</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('내부 열전달 계수 계산'!$D$18,'내부 열전달 계수 계산'!$D$4)</c:f>
              <c:numCache>
                <c:formatCode>General</c:formatCode>
                <c:ptCount val="2"/>
                <c:pt idx="0">
                  <c:v>112</c:v>
                </c:pt>
                <c:pt idx="1">
                  <c:v>283</c:v>
                </c:pt>
              </c:numCache>
            </c:numRef>
          </c:val>
          <c:smooth val="0"/>
          <c:extLst>
            <c:ext xmlns:c16="http://schemas.microsoft.com/office/drawing/2014/chart" uri="{C3380CC4-5D6E-409C-BE32-E72D297353CC}">
              <c16:uniqueId val="{00000002-1A7B-47BE-ACB3-633636BDBFF9}"/>
            </c:ext>
          </c:extLst>
        </c:ser>
        <c:ser>
          <c:idx val="1"/>
          <c:order val="1"/>
          <c:tx>
            <c:v>냉각유체 온도변화</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('내부 열전달 계수 계산'!$H$18,'내부 열전달 계수 계산'!$H$4)</c:f>
              <c:numCache>
                <c:formatCode>General</c:formatCode>
                <c:ptCount val="2"/>
                <c:pt idx="0">
                  <c:v>220</c:v>
                </c:pt>
                <c:pt idx="1">
                  <c:v>293</c:v>
                </c:pt>
              </c:numCache>
            </c:numRef>
          </c:val>
          <c:smooth val="0"/>
          <c:extLst>
            <c:ext xmlns:c16="http://schemas.microsoft.com/office/drawing/2014/chart" uri="{C3380CC4-5D6E-409C-BE32-E72D297353CC}">
              <c16:uniqueId val="{00000004-1A7B-47BE-ACB3-633636BDBFF9}"/>
            </c:ext>
          </c:extLst>
        </c:ser>
        <c:dLbls>
          <c:dLblPos val="t"/>
          <c:showLegendKey val="0"/>
          <c:showVal val="1"/>
          <c:showCatName val="0"/>
          <c:showSerName val="0"/>
          <c:showPercent val="0"/>
          <c:showBubbleSize val="0"/>
        </c:dLbls>
        <c:smooth val="0"/>
        <c:axId val="2118702447"/>
        <c:axId val="2118701199"/>
      </c:lineChart>
      <c:catAx>
        <c:axId val="2118702447"/>
        <c:scaling>
          <c:orientation val="minMax"/>
        </c:scaling>
        <c:delete val="1"/>
        <c:axPos val="b"/>
        <c:majorTickMark val="out"/>
        <c:minorTickMark val="none"/>
        <c:tickLblPos val="nextTo"/>
        <c:crossAx val="2118701199"/>
        <c:crosses val="autoZero"/>
        <c:auto val="1"/>
        <c:lblAlgn val="ctr"/>
        <c:lblOffset val="100"/>
        <c:noMultiLvlLbl val="0"/>
      </c:catAx>
      <c:valAx>
        <c:axId val="2118701199"/>
        <c:scaling>
          <c:orientation val="minMax"/>
          <c:max val="350"/>
          <c:min val="7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118702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구간 </a:t>
            </a:r>
            <a:r>
              <a:rPr lang="en-US" altLang="ko-KR"/>
              <a:t>112~190K</a:t>
            </a:r>
            <a:br>
              <a:rPr lang="en-US" altLang="ko-KR"/>
            </a:br>
            <a:r>
              <a:rPr lang="ko-KR" altLang="en-US"/>
              <a:t>온도변화</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v>LNG</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확인'!$E$17,'핀치점 확인'!$E$6)</c:f>
              <c:numCache>
                <c:formatCode>General</c:formatCode>
                <c:ptCount val="2"/>
                <c:pt idx="0">
                  <c:v>112</c:v>
                </c:pt>
                <c:pt idx="1">
                  <c:v>190</c:v>
                </c:pt>
              </c:numCache>
            </c:numRef>
          </c:val>
          <c:smooth val="0"/>
          <c:extLst>
            <c:ext xmlns:c16="http://schemas.microsoft.com/office/drawing/2014/chart" uri="{C3380CC4-5D6E-409C-BE32-E72D297353CC}">
              <c16:uniqueId val="{00000000-4CEA-4BDA-92BB-77B09F5CEB1A}"/>
            </c:ext>
          </c:extLst>
        </c:ser>
        <c:ser>
          <c:idx val="1"/>
          <c:order val="1"/>
          <c:tx>
            <c:v>냉각유체</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확인'!$H$17,'핀치점 확인'!$H$6)</c:f>
              <c:numCache>
                <c:formatCode>General</c:formatCode>
                <c:ptCount val="2"/>
                <c:pt idx="0">
                  <c:v>220</c:v>
                </c:pt>
                <c:pt idx="1">
                  <c:v>248.80099999999999</c:v>
                </c:pt>
              </c:numCache>
            </c:numRef>
          </c:val>
          <c:smooth val="0"/>
          <c:extLst>
            <c:ext xmlns:c16="http://schemas.microsoft.com/office/drawing/2014/chart" uri="{C3380CC4-5D6E-409C-BE32-E72D297353CC}">
              <c16:uniqueId val="{00000001-4CEA-4BDA-92BB-77B09F5CEB1A}"/>
            </c:ext>
          </c:extLst>
        </c:ser>
        <c:dLbls>
          <c:dLblPos val="t"/>
          <c:showLegendKey val="0"/>
          <c:showVal val="1"/>
          <c:showCatName val="0"/>
          <c:showSerName val="0"/>
          <c:showPercent val="0"/>
          <c:showBubbleSize val="0"/>
        </c:dLbls>
        <c:smooth val="0"/>
        <c:axId val="823767567"/>
        <c:axId val="823771311"/>
      </c:lineChart>
      <c:catAx>
        <c:axId val="823767567"/>
        <c:scaling>
          <c:orientation val="minMax"/>
        </c:scaling>
        <c:delete val="1"/>
        <c:axPos val="b"/>
        <c:majorTickMark val="out"/>
        <c:minorTickMark val="none"/>
        <c:tickLblPos val="nextTo"/>
        <c:crossAx val="823771311"/>
        <c:crosses val="autoZero"/>
        <c:auto val="1"/>
        <c:lblAlgn val="ctr"/>
        <c:lblOffset val="100"/>
        <c:noMultiLvlLbl val="0"/>
      </c:catAx>
      <c:valAx>
        <c:axId val="82377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3767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구간 </a:t>
            </a:r>
            <a:r>
              <a:rPr lang="en-US" altLang="ko-KR"/>
              <a:t>190~205K</a:t>
            </a:r>
            <a:br>
              <a:rPr lang="en-US" altLang="ko-KR"/>
            </a:br>
            <a:r>
              <a:rPr lang="ko-KR" altLang="en-US"/>
              <a:t>온도변화</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v>LNG</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확인'!$E$48,'핀치점 확인'!$E$37)</c:f>
              <c:numCache>
                <c:formatCode>General</c:formatCode>
                <c:ptCount val="2"/>
                <c:pt idx="0">
                  <c:v>190</c:v>
                </c:pt>
                <c:pt idx="1">
                  <c:v>205</c:v>
                </c:pt>
              </c:numCache>
            </c:numRef>
          </c:val>
          <c:smooth val="0"/>
          <c:extLst>
            <c:ext xmlns:c16="http://schemas.microsoft.com/office/drawing/2014/chart" uri="{C3380CC4-5D6E-409C-BE32-E72D297353CC}">
              <c16:uniqueId val="{00000000-3221-4D87-B7A0-72A63E2291CD}"/>
            </c:ext>
          </c:extLst>
        </c:ser>
        <c:ser>
          <c:idx val="1"/>
          <c:order val="1"/>
          <c:tx>
            <c:v>냉각유체</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확인'!$H$48,'핀치점 확인'!$H$37)</c:f>
              <c:numCache>
                <c:formatCode>General</c:formatCode>
                <c:ptCount val="2"/>
                <c:pt idx="0">
                  <c:v>248.80099999999999</c:v>
                </c:pt>
                <c:pt idx="1">
                  <c:v>260.596</c:v>
                </c:pt>
              </c:numCache>
            </c:numRef>
          </c:val>
          <c:smooth val="0"/>
          <c:extLst>
            <c:ext xmlns:c16="http://schemas.microsoft.com/office/drawing/2014/chart" uri="{C3380CC4-5D6E-409C-BE32-E72D297353CC}">
              <c16:uniqueId val="{00000001-3221-4D87-B7A0-72A63E2291CD}"/>
            </c:ext>
          </c:extLst>
        </c:ser>
        <c:dLbls>
          <c:dLblPos val="t"/>
          <c:showLegendKey val="0"/>
          <c:showVal val="1"/>
          <c:showCatName val="0"/>
          <c:showSerName val="0"/>
          <c:showPercent val="0"/>
          <c:showBubbleSize val="0"/>
        </c:dLbls>
        <c:smooth val="0"/>
        <c:axId val="823767567"/>
        <c:axId val="823771311"/>
      </c:lineChart>
      <c:catAx>
        <c:axId val="823767567"/>
        <c:scaling>
          <c:orientation val="minMax"/>
        </c:scaling>
        <c:delete val="1"/>
        <c:axPos val="b"/>
        <c:majorTickMark val="out"/>
        <c:minorTickMark val="none"/>
        <c:tickLblPos val="nextTo"/>
        <c:crossAx val="823771311"/>
        <c:crosses val="autoZero"/>
        <c:auto val="1"/>
        <c:lblAlgn val="ctr"/>
        <c:lblOffset val="100"/>
        <c:noMultiLvlLbl val="0"/>
      </c:catAx>
      <c:valAx>
        <c:axId val="82377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3767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구간 </a:t>
            </a:r>
            <a:r>
              <a:rPr lang="en-US" altLang="ko-KR"/>
              <a:t>205~220K</a:t>
            </a:r>
            <a:br>
              <a:rPr lang="en-US" altLang="ko-KR"/>
            </a:br>
            <a:r>
              <a:rPr lang="ko-KR" altLang="en-US"/>
              <a:t>온도변화</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v>LNG</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확인'!$L$17,'핀치점 확인'!$L$6)</c:f>
              <c:numCache>
                <c:formatCode>General</c:formatCode>
                <c:ptCount val="2"/>
                <c:pt idx="0">
                  <c:v>205</c:v>
                </c:pt>
                <c:pt idx="1">
                  <c:v>220</c:v>
                </c:pt>
              </c:numCache>
            </c:numRef>
          </c:val>
          <c:smooth val="0"/>
          <c:extLst>
            <c:ext xmlns:c16="http://schemas.microsoft.com/office/drawing/2014/chart" uri="{C3380CC4-5D6E-409C-BE32-E72D297353CC}">
              <c16:uniqueId val="{00000000-8EB5-4366-864D-3D57FD3F28C1}"/>
            </c:ext>
          </c:extLst>
        </c:ser>
        <c:ser>
          <c:idx val="1"/>
          <c:order val="1"/>
          <c:tx>
            <c:v>냉각유체</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확인'!$O$17,'핀치점 확인'!$O$6)</c:f>
              <c:numCache>
                <c:formatCode>General</c:formatCode>
                <c:ptCount val="2"/>
                <c:pt idx="0">
                  <c:v>260.596</c:v>
                </c:pt>
                <c:pt idx="1">
                  <c:v>272.49400000000003</c:v>
                </c:pt>
              </c:numCache>
            </c:numRef>
          </c:val>
          <c:smooth val="0"/>
          <c:extLst>
            <c:ext xmlns:c16="http://schemas.microsoft.com/office/drawing/2014/chart" uri="{C3380CC4-5D6E-409C-BE32-E72D297353CC}">
              <c16:uniqueId val="{00000001-8EB5-4366-864D-3D57FD3F28C1}"/>
            </c:ext>
          </c:extLst>
        </c:ser>
        <c:dLbls>
          <c:dLblPos val="t"/>
          <c:showLegendKey val="0"/>
          <c:showVal val="1"/>
          <c:showCatName val="0"/>
          <c:showSerName val="0"/>
          <c:showPercent val="0"/>
          <c:showBubbleSize val="0"/>
        </c:dLbls>
        <c:smooth val="0"/>
        <c:axId val="823767567"/>
        <c:axId val="823771311"/>
      </c:lineChart>
      <c:catAx>
        <c:axId val="823767567"/>
        <c:scaling>
          <c:orientation val="minMax"/>
        </c:scaling>
        <c:delete val="1"/>
        <c:axPos val="b"/>
        <c:majorTickMark val="out"/>
        <c:minorTickMark val="none"/>
        <c:tickLblPos val="nextTo"/>
        <c:crossAx val="823771311"/>
        <c:crosses val="autoZero"/>
        <c:auto val="1"/>
        <c:lblAlgn val="ctr"/>
        <c:lblOffset val="100"/>
        <c:noMultiLvlLbl val="0"/>
      </c:catAx>
      <c:valAx>
        <c:axId val="82377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3767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구간 </a:t>
            </a:r>
            <a:r>
              <a:rPr lang="en-US" altLang="ko-KR"/>
              <a:t>220~283K</a:t>
            </a:r>
            <a:br>
              <a:rPr lang="en-US" altLang="ko-KR"/>
            </a:br>
            <a:r>
              <a:rPr lang="ko-KR" altLang="en-US"/>
              <a:t>온도변화</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v>LNG</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확인'!$L$48,'핀치점 확인'!$L$37)</c:f>
              <c:numCache>
                <c:formatCode>General</c:formatCode>
                <c:ptCount val="2"/>
                <c:pt idx="0">
                  <c:v>220</c:v>
                </c:pt>
                <c:pt idx="1">
                  <c:v>283</c:v>
                </c:pt>
              </c:numCache>
            </c:numRef>
          </c:val>
          <c:smooth val="0"/>
          <c:extLst>
            <c:ext xmlns:c16="http://schemas.microsoft.com/office/drawing/2014/chart" uri="{C3380CC4-5D6E-409C-BE32-E72D297353CC}">
              <c16:uniqueId val="{00000000-B106-4F1A-869D-5D480FD07881}"/>
            </c:ext>
          </c:extLst>
        </c:ser>
        <c:ser>
          <c:idx val="1"/>
          <c:order val="1"/>
          <c:tx>
            <c:v>냉각유체</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확인'!$O$48,'핀치점 확인'!$O$37)</c:f>
              <c:numCache>
                <c:formatCode>General</c:formatCode>
                <c:ptCount val="2"/>
                <c:pt idx="0">
                  <c:v>272.49400000000003</c:v>
                </c:pt>
                <c:pt idx="1">
                  <c:v>293.19</c:v>
                </c:pt>
              </c:numCache>
            </c:numRef>
          </c:val>
          <c:smooth val="0"/>
          <c:extLst>
            <c:ext xmlns:c16="http://schemas.microsoft.com/office/drawing/2014/chart" uri="{C3380CC4-5D6E-409C-BE32-E72D297353CC}">
              <c16:uniqueId val="{00000001-B106-4F1A-869D-5D480FD07881}"/>
            </c:ext>
          </c:extLst>
        </c:ser>
        <c:dLbls>
          <c:dLblPos val="t"/>
          <c:showLegendKey val="0"/>
          <c:showVal val="1"/>
          <c:showCatName val="0"/>
          <c:showSerName val="0"/>
          <c:showPercent val="0"/>
          <c:showBubbleSize val="0"/>
        </c:dLbls>
        <c:smooth val="0"/>
        <c:axId val="823767567"/>
        <c:axId val="823771311"/>
      </c:lineChart>
      <c:catAx>
        <c:axId val="823767567"/>
        <c:scaling>
          <c:orientation val="minMax"/>
        </c:scaling>
        <c:delete val="1"/>
        <c:axPos val="b"/>
        <c:majorTickMark val="out"/>
        <c:minorTickMark val="none"/>
        <c:tickLblPos val="nextTo"/>
        <c:crossAx val="823771311"/>
        <c:crosses val="autoZero"/>
        <c:auto val="1"/>
        <c:lblAlgn val="ctr"/>
        <c:lblOffset val="100"/>
        <c:noMultiLvlLbl val="0"/>
      </c:catAx>
      <c:valAx>
        <c:axId val="82377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3767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t>온도 핀치점 확인</a:t>
            </a:r>
          </a:p>
        </c:rich>
      </c:tx>
      <c:layout>
        <c:manualLayout>
          <c:xMode val="edge"/>
          <c:yMode val="edge"/>
          <c:x val="0.33960434166784681"/>
          <c:y val="2.7903982469561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v>LNG</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확인'!$E$17,'핀치점 확인'!$E$6,'핀치점 확인'!$E$37,'핀치점 확인'!$L$6,'핀치점 확인'!$L$37)</c:f>
              <c:numCache>
                <c:formatCode>General</c:formatCode>
                <c:ptCount val="5"/>
                <c:pt idx="0">
                  <c:v>112</c:v>
                </c:pt>
                <c:pt idx="1">
                  <c:v>190</c:v>
                </c:pt>
                <c:pt idx="2">
                  <c:v>205</c:v>
                </c:pt>
                <c:pt idx="3">
                  <c:v>220</c:v>
                </c:pt>
                <c:pt idx="4">
                  <c:v>283</c:v>
                </c:pt>
              </c:numCache>
            </c:numRef>
          </c:val>
          <c:smooth val="0"/>
          <c:extLst>
            <c:ext xmlns:c16="http://schemas.microsoft.com/office/drawing/2014/chart" uri="{C3380CC4-5D6E-409C-BE32-E72D297353CC}">
              <c16:uniqueId val="{00000002-1136-4F97-9F74-A6D89D7C7BE4}"/>
            </c:ext>
          </c:extLst>
        </c:ser>
        <c:ser>
          <c:idx val="1"/>
          <c:order val="1"/>
          <c:tx>
            <c:v>냉각유체</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('핀치점 확인'!$H$17,'핀치점 확인'!$H$6,'핀치점 확인'!$H$37,'핀치점 확인'!$O$6,'핀치점 확인'!$O$37)</c:f>
              <c:numCache>
                <c:formatCode>General</c:formatCode>
                <c:ptCount val="5"/>
                <c:pt idx="0">
                  <c:v>220</c:v>
                </c:pt>
                <c:pt idx="1">
                  <c:v>248.80099999999999</c:v>
                </c:pt>
                <c:pt idx="2">
                  <c:v>260.596</c:v>
                </c:pt>
                <c:pt idx="3">
                  <c:v>272.49400000000003</c:v>
                </c:pt>
                <c:pt idx="4">
                  <c:v>293.19</c:v>
                </c:pt>
              </c:numCache>
            </c:numRef>
          </c:val>
          <c:smooth val="0"/>
          <c:extLst>
            <c:ext xmlns:c16="http://schemas.microsoft.com/office/drawing/2014/chart" uri="{C3380CC4-5D6E-409C-BE32-E72D297353CC}">
              <c16:uniqueId val="{00000004-1136-4F97-9F74-A6D89D7C7BE4}"/>
            </c:ext>
          </c:extLst>
        </c:ser>
        <c:dLbls>
          <c:dLblPos val="ctr"/>
          <c:showLegendKey val="0"/>
          <c:showVal val="1"/>
          <c:showCatName val="0"/>
          <c:showSerName val="0"/>
          <c:showPercent val="0"/>
          <c:showBubbleSize val="0"/>
        </c:dLbls>
        <c:smooth val="0"/>
        <c:axId val="477001775"/>
        <c:axId val="477005935"/>
      </c:lineChart>
      <c:catAx>
        <c:axId val="477001775"/>
        <c:scaling>
          <c:orientation val="minMax"/>
        </c:scaling>
        <c:delete val="1"/>
        <c:axPos val="b"/>
        <c:majorTickMark val="none"/>
        <c:minorTickMark val="none"/>
        <c:tickLblPos val="nextTo"/>
        <c:crossAx val="477005935"/>
        <c:crosses val="autoZero"/>
        <c:auto val="1"/>
        <c:lblAlgn val="ctr"/>
        <c:lblOffset val="100"/>
        <c:noMultiLvlLbl val="0"/>
      </c:catAx>
      <c:valAx>
        <c:axId val="477005935"/>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77001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X!$B$8</c:f>
              <c:strCache>
                <c:ptCount val="1"/>
                <c:pt idx="0">
                  <c:v>LNG 입구온도</c:v>
                </c:pt>
              </c:strCache>
            </c:strRef>
          </c:tx>
          <c:spPr>
            <a:ln w="28575" cap="rnd">
              <a:solidFill>
                <a:schemeClr val="accent1"/>
              </a:solidFill>
              <a:round/>
            </a:ln>
            <a:effectLst/>
          </c:spPr>
          <c:marker>
            <c:symbol val="none"/>
          </c:marker>
          <c:val>
            <c:numRef>
              <c:f>X!$B$9:$B$180</c:f>
              <c:numCache>
                <c:formatCode>General</c:formatCode>
                <c:ptCount val="172"/>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pt idx="23">
                  <c:v>135</c:v>
                </c:pt>
                <c:pt idx="24">
                  <c:v>136</c:v>
                </c:pt>
                <c:pt idx="25">
                  <c:v>137</c:v>
                </c:pt>
                <c:pt idx="26">
                  <c:v>138</c:v>
                </c:pt>
                <c:pt idx="27">
                  <c:v>139</c:v>
                </c:pt>
                <c:pt idx="28">
                  <c:v>140</c:v>
                </c:pt>
                <c:pt idx="29">
                  <c:v>141</c:v>
                </c:pt>
                <c:pt idx="30">
                  <c:v>142</c:v>
                </c:pt>
                <c:pt idx="31">
                  <c:v>143</c:v>
                </c:pt>
                <c:pt idx="32">
                  <c:v>144</c:v>
                </c:pt>
                <c:pt idx="33">
                  <c:v>145</c:v>
                </c:pt>
                <c:pt idx="34">
                  <c:v>146</c:v>
                </c:pt>
                <c:pt idx="35">
                  <c:v>147</c:v>
                </c:pt>
                <c:pt idx="36">
                  <c:v>148</c:v>
                </c:pt>
                <c:pt idx="37">
                  <c:v>149</c:v>
                </c:pt>
                <c:pt idx="38">
                  <c:v>150</c:v>
                </c:pt>
                <c:pt idx="39">
                  <c:v>151</c:v>
                </c:pt>
                <c:pt idx="40">
                  <c:v>152</c:v>
                </c:pt>
                <c:pt idx="41">
                  <c:v>153</c:v>
                </c:pt>
                <c:pt idx="42">
                  <c:v>154</c:v>
                </c:pt>
                <c:pt idx="43">
                  <c:v>155</c:v>
                </c:pt>
                <c:pt idx="44">
                  <c:v>156</c:v>
                </c:pt>
                <c:pt idx="45">
                  <c:v>157</c:v>
                </c:pt>
                <c:pt idx="46">
                  <c:v>158</c:v>
                </c:pt>
                <c:pt idx="47">
                  <c:v>159</c:v>
                </c:pt>
                <c:pt idx="48">
                  <c:v>160</c:v>
                </c:pt>
                <c:pt idx="49">
                  <c:v>161</c:v>
                </c:pt>
                <c:pt idx="50">
                  <c:v>162</c:v>
                </c:pt>
                <c:pt idx="51">
                  <c:v>163</c:v>
                </c:pt>
                <c:pt idx="52">
                  <c:v>164</c:v>
                </c:pt>
                <c:pt idx="53">
                  <c:v>165</c:v>
                </c:pt>
                <c:pt idx="54">
                  <c:v>166</c:v>
                </c:pt>
                <c:pt idx="55">
                  <c:v>167</c:v>
                </c:pt>
                <c:pt idx="56">
                  <c:v>168</c:v>
                </c:pt>
                <c:pt idx="57">
                  <c:v>169</c:v>
                </c:pt>
                <c:pt idx="58">
                  <c:v>170</c:v>
                </c:pt>
                <c:pt idx="59">
                  <c:v>171</c:v>
                </c:pt>
                <c:pt idx="60">
                  <c:v>172</c:v>
                </c:pt>
                <c:pt idx="61">
                  <c:v>173</c:v>
                </c:pt>
                <c:pt idx="62">
                  <c:v>174</c:v>
                </c:pt>
                <c:pt idx="63">
                  <c:v>175</c:v>
                </c:pt>
                <c:pt idx="64">
                  <c:v>176</c:v>
                </c:pt>
                <c:pt idx="65">
                  <c:v>177</c:v>
                </c:pt>
                <c:pt idx="66">
                  <c:v>178</c:v>
                </c:pt>
                <c:pt idx="67">
                  <c:v>179</c:v>
                </c:pt>
                <c:pt idx="68">
                  <c:v>180</c:v>
                </c:pt>
                <c:pt idx="69">
                  <c:v>181</c:v>
                </c:pt>
                <c:pt idx="70">
                  <c:v>182</c:v>
                </c:pt>
                <c:pt idx="71">
                  <c:v>183</c:v>
                </c:pt>
                <c:pt idx="72">
                  <c:v>184</c:v>
                </c:pt>
                <c:pt idx="73">
                  <c:v>185</c:v>
                </c:pt>
                <c:pt idx="74">
                  <c:v>186</c:v>
                </c:pt>
                <c:pt idx="75">
                  <c:v>187</c:v>
                </c:pt>
                <c:pt idx="76">
                  <c:v>188</c:v>
                </c:pt>
                <c:pt idx="77">
                  <c:v>189</c:v>
                </c:pt>
                <c:pt idx="78">
                  <c:v>190</c:v>
                </c:pt>
                <c:pt idx="79">
                  <c:v>191</c:v>
                </c:pt>
                <c:pt idx="80">
                  <c:v>192</c:v>
                </c:pt>
                <c:pt idx="81">
                  <c:v>193</c:v>
                </c:pt>
                <c:pt idx="82">
                  <c:v>194</c:v>
                </c:pt>
                <c:pt idx="83">
                  <c:v>195</c:v>
                </c:pt>
                <c:pt idx="84">
                  <c:v>196</c:v>
                </c:pt>
                <c:pt idx="85">
                  <c:v>197</c:v>
                </c:pt>
                <c:pt idx="86">
                  <c:v>198</c:v>
                </c:pt>
                <c:pt idx="87">
                  <c:v>199</c:v>
                </c:pt>
                <c:pt idx="88">
                  <c:v>200</c:v>
                </c:pt>
                <c:pt idx="89">
                  <c:v>201</c:v>
                </c:pt>
                <c:pt idx="90">
                  <c:v>202</c:v>
                </c:pt>
                <c:pt idx="91">
                  <c:v>203</c:v>
                </c:pt>
                <c:pt idx="92">
                  <c:v>204</c:v>
                </c:pt>
                <c:pt idx="93">
                  <c:v>205</c:v>
                </c:pt>
                <c:pt idx="94">
                  <c:v>206</c:v>
                </c:pt>
                <c:pt idx="95">
                  <c:v>207</c:v>
                </c:pt>
                <c:pt idx="96">
                  <c:v>208</c:v>
                </c:pt>
                <c:pt idx="97">
                  <c:v>209</c:v>
                </c:pt>
                <c:pt idx="98">
                  <c:v>210</c:v>
                </c:pt>
                <c:pt idx="99">
                  <c:v>211</c:v>
                </c:pt>
                <c:pt idx="100">
                  <c:v>212</c:v>
                </c:pt>
                <c:pt idx="101">
                  <c:v>213</c:v>
                </c:pt>
                <c:pt idx="102">
                  <c:v>214</c:v>
                </c:pt>
                <c:pt idx="103">
                  <c:v>215</c:v>
                </c:pt>
                <c:pt idx="104">
                  <c:v>216</c:v>
                </c:pt>
                <c:pt idx="105">
                  <c:v>217</c:v>
                </c:pt>
                <c:pt idx="106">
                  <c:v>218</c:v>
                </c:pt>
                <c:pt idx="107">
                  <c:v>219</c:v>
                </c:pt>
                <c:pt idx="108">
                  <c:v>220</c:v>
                </c:pt>
                <c:pt idx="109">
                  <c:v>221</c:v>
                </c:pt>
                <c:pt idx="110">
                  <c:v>222</c:v>
                </c:pt>
                <c:pt idx="111">
                  <c:v>223</c:v>
                </c:pt>
                <c:pt idx="112">
                  <c:v>224</c:v>
                </c:pt>
                <c:pt idx="113">
                  <c:v>225</c:v>
                </c:pt>
                <c:pt idx="114">
                  <c:v>226</c:v>
                </c:pt>
                <c:pt idx="115">
                  <c:v>227</c:v>
                </c:pt>
                <c:pt idx="116">
                  <c:v>228</c:v>
                </c:pt>
                <c:pt idx="117">
                  <c:v>229</c:v>
                </c:pt>
                <c:pt idx="118">
                  <c:v>230</c:v>
                </c:pt>
                <c:pt idx="119">
                  <c:v>231</c:v>
                </c:pt>
                <c:pt idx="120">
                  <c:v>232</c:v>
                </c:pt>
                <c:pt idx="121">
                  <c:v>233</c:v>
                </c:pt>
                <c:pt idx="122">
                  <c:v>234</c:v>
                </c:pt>
                <c:pt idx="123">
                  <c:v>235</c:v>
                </c:pt>
                <c:pt idx="124">
                  <c:v>236</c:v>
                </c:pt>
                <c:pt idx="125">
                  <c:v>237</c:v>
                </c:pt>
                <c:pt idx="126">
                  <c:v>238</c:v>
                </c:pt>
                <c:pt idx="127">
                  <c:v>239</c:v>
                </c:pt>
                <c:pt idx="128">
                  <c:v>240</c:v>
                </c:pt>
                <c:pt idx="129">
                  <c:v>241</c:v>
                </c:pt>
                <c:pt idx="130">
                  <c:v>242</c:v>
                </c:pt>
                <c:pt idx="131">
                  <c:v>243</c:v>
                </c:pt>
                <c:pt idx="132">
                  <c:v>244</c:v>
                </c:pt>
                <c:pt idx="133">
                  <c:v>245</c:v>
                </c:pt>
                <c:pt idx="134">
                  <c:v>246</c:v>
                </c:pt>
                <c:pt idx="135">
                  <c:v>247</c:v>
                </c:pt>
                <c:pt idx="136">
                  <c:v>248</c:v>
                </c:pt>
                <c:pt idx="137">
                  <c:v>249</c:v>
                </c:pt>
                <c:pt idx="138">
                  <c:v>250</c:v>
                </c:pt>
                <c:pt idx="139">
                  <c:v>251</c:v>
                </c:pt>
                <c:pt idx="140">
                  <c:v>252</c:v>
                </c:pt>
                <c:pt idx="141">
                  <c:v>253</c:v>
                </c:pt>
                <c:pt idx="142">
                  <c:v>254</c:v>
                </c:pt>
                <c:pt idx="143">
                  <c:v>255</c:v>
                </c:pt>
                <c:pt idx="144">
                  <c:v>256</c:v>
                </c:pt>
                <c:pt idx="145">
                  <c:v>257</c:v>
                </c:pt>
                <c:pt idx="146">
                  <c:v>258</c:v>
                </c:pt>
                <c:pt idx="147">
                  <c:v>259</c:v>
                </c:pt>
                <c:pt idx="148">
                  <c:v>260</c:v>
                </c:pt>
                <c:pt idx="149">
                  <c:v>261</c:v>
                </c:pt>
                <c:pt idx="150">
                  <c:v>262</c:v>
                </c:pt>
                <c:pt idx="151">
                  <c:v>263</c:v>
                </c:pt>
                <c:pt idx="152">
                  <c:v>264</c:v>
                </c:pt>
                <c:pt idx="153">
                  <c:v>265</c:v>
                </c:pt>
                <c:pt idx="154">
                  <c:v>266</c:v>
                </c:pt>
                <c:pt idx="155">
                  <c:v>267</c:v>
                </c:pt>
                <c:pt idx="156">
                  <c:v>268</c:v>
                </c:pt>
                <c:pt idx="157">
                  <c:v>269</c:v>
                </c:pt>
                <c:pt idx="158">
                  <c:v>270</c:v>
                </c:pt>
                <c:pt idx="159">
                  <c:v>271</c:v>
                </c:pt>
                <c:pt idx="160">
                  <c:v>272</c:v>
                </c:pt>
                <c:pt idx="161">
                  <c:v>273</c:v>
                </c:pt>
                <c:pt idx="162">
                  <c:v>274</c:v>
                </c:pt>
                <c:pt idx="163">
                  <c:v>275</c:v>
                </c:pt>
                <c:pt idx="164">
                  <c:v>276</c:v>
                </c:pt>
                <c:pt idx="165">
                  <c:v>277</c:v>
                </c:pt>
                <c:pt idx="166">
                  <c:v>278</c:v>
                </c:pt>
                <c:pt idx="167">
                  <c:v>279</c:v>
                </c:pt>
                <c:pt idx="168">
                  <c:v>280</c:v>
                </c:pt>
                <c:pt idx="169">
                  <c:v>281</c:v>
                </c:pt>
                <c:pt idx="170">
                  <c:v>282</c:v>
                </c:pt>
                <c:pt idx="171">
                  <c:v>283</c:v>
                </c:pt>
              </c:numCache>
            </c:numRef>
          </c:val>
          <c:smooth val="0"/>
          <c:extLst>
            <c:ext xmlns:c16="http://schemas.microsoft.com/office/drawing/2014/chart" uri="{C3380CC4-5D6E-409C-BE32-E72D297353CC}">
              <c16:uniqueId val="{00000000-99DC-4856-8E48-32D86A447044}"/>
            </c:ext>
          </c:extLst>
        </c:ser>
        <c:ser>
          <c:idx val="1"/>
          <c:order val="1"/>
          <c:tx>
            <c:strRef>
              <c:f>X!$C$8</c:f>
              <c:strCache>
                <c:ptCount val="1"/>
                <c:pt idx="0">
                  <c:v>냉각유체 온도</c:v>
                </c:pt>
              </c:strCache>
            </c:strRef>
          </c:tx>
          <c:spPr>
            <a:ln w="28575" cap="rnd">
              <a:solidFill>
                <a:schemeClr val="accent2"/>
              </a:solidFill>
              <a:round/>
            </a:ln>
            <a:effectLst/>
          </c:spPr>
          <c:marker>
            <c:symbol val="none"/>
          </c:marker>
          <c:val>
            <c:numRef>
              <c:f>X!$C$9:$C$180</c:f>
              <c:numCache>
                <c:formatCode>General</c:formatCode>
                <c:ptCount val="172"/>
                <c:pt idx="0">
                  <c:v>220</c:v>
                </c:pt>
                <c:pt idx="1">
                  <c:v>220.31721011544525</c:v>
                </c:pt>
                <c:pt idx="2">
                  <c:v>220.63489358185424</c:v>
                </c:pt>
                <c:pt idx="3">
                  <c:v>220.95306896200987</c:v>
                </c:pt>
                <c:pt idx="4">
                  <c:v>221.27173625591212</c:v>
                </c:pt>
                <c:pt idx="5">
                  <c:v>221.59091402634388</c:v>
                </c:pt>
                <c:pt idx="6">
                  <c:v>221.91061155469663</c:v>
                </c:pt>
                <c:pt idx="7">
                  <c:v>222.23084740375324</c:v>
                </c:pt>
                <c:pt idx="8">
                  <c:v>222.55163085490514</c:v>
                </c:pt>
                <c:pt idx="9">
                  <c:v>222.87297118954379</c:v>
                </c:pt>
                <c:pt idx="10">
                  <c:v>223.1948869704521</c:v>
                </c:pt>
                <c:pt idx="11">
                  <c:v>223.51739676041294</c:v>
                </c:pt>
                <c:pt idx="12">
                  <c:v>223.84050984081776</c:v>
                </c:pt>
                <c:pt idx="13">
                  <c:v>224.16424477444946</c:v>
                </c:pt>
                <c:pt idx="14">
                  <c:v>224.48862012409091</c:v>
                </c:pt>
                <c:pt idx="15">
                  <c:v>224.81365445252504</c:v>
                </c:pt>
                <c:pt idx="16">
                  <c:v>225.13935704114326</c:v>
                </c:pt>
                <c:pt idx="17">
                  <c:v>225.46575573411991</c:v>
                </c:pt>
                <c:pt idx="18">
                  <c:v>225.79286909423789</c:v>
                </c:pt>
                <c:pt idx="19">
                  <c:v>226.1207156842801</c:v>
                </c:pt>
                <c:pt idx="20">
                  <c:v>226.44932334842088</c:v>
                </c:pt>
                <c:pt idx="21">
                  <c:v>226.7787106494431</c:v>
                </c:pt>
                <c:pt idx="22">
                  <c:v>227.10889615012968</c:v>
                </c:pt>
                <c:pt idx="23">
                  <c:v>227.43990769465492</c:v>
                </c:pt>
                <c:pt idx="24">
                  <c:v>227.7717731271932</c:v>
                </c:pt>
                <c:pt idx="25">
                  <c:v>228.10452029191882</c:v>
                </c:pt>
                <c:pt idx="26">
                  <c:v>228.43816775161469</c:v>
                </c:pt>
                <c:pt idx="27">
                  <c:v>228.7727526318466</c:v>
                </c:pt>
                <c:pt idx="28">
                  <c:v>229.10831205818033</c:v>
                </c:pt>
                <c:pt idx="29">
                  <c:v>229.44486459339876</c:v>
                </c:pt>
                <c:pt idx="30">
                  <c:v>229.78244736306769</c:v>
                </c:pt>
                <c:pt idx="31">
                  <c:v>230.12110677414432</c:v>
                </c:pt>
                <c:pt idx="32">
                  <c:v>230.46087067080302</c:v>
                </c:pt>
                <c:pt idx="33">
                  <c:v>230.80177617860957</c:v>
                </c:pt>
                <c:pt idx="34">
                  <c:v>231.14386042312972</c:v>
                </c:pt>
                <c:pt idx="35">
                  <c:v>231.48716981132074</c:v>
                </c:pt>
                <c:pt idx="36">
                  <c:v>231.83175075013983</c:v>
                </c:pt>
                <c:pt idx="37">
                  <c:v>232.17764964654424</c:v>
                </c:pt>
                <c:pt idx="38">
                  <c:v>232.52492218888264</c:v>
                </c:pt>
                <c:pt idx="39">
                  <c:v>232.87360550272081</c:v>
                </c:pt>
                <c:pt idx="40">
                  <c:v>233.22376455779886</c:v>
                </c:pt>
                <c:pt idx="41">
                  <c:v>233.57545504246548</c:v>
                </c:pt>
                <c:pt idx="42">
                  <c:v>233.92873264506935</c:v>
                </c:pt>
                <c:pt idx="43">
                  <c:v>234.28367161674203</c:v>
                </c:pt>
                <c:pt idx="44">
                  <c:v>234.6403276458322</c:v>
                </c:pt>
                <c:pt idx="45">
                  <c:v>234.99878426486288</c:v>
                </c:pt>
                <c:pt idx="46">
                  <c:v>235.35910644357415</c:v>
                </c:pt>
                <c:pt idx="47">
                  <c:v>235.72137771448905</c:v>
                </c:pt>
                <c:pt idx="48">
                  <c:v>236.08569089152206</c:v>
                </c:pt>
                <c:pt idx="49">
                  <c:v>236.45212950719616</c:v>
                </c:pt>
                <c:pt idx="50">
                  <c:v>236.82078637542583</c:v>
                </c:pt>
                <c:pt idx="51">
                  <c:v>237.19177287290842</c:v>
                </c:pt>
                <c:pt idx="52">
                  <c:v>237.56520037634127</c:v>
                </c:pt>
                <c:pt idx="53">
                  <c:v>237.94118026242171</c:v>
                </c:pt>
                <c:pt idx="54">
                  <c:v>238.31984247063002</c:v>
                </c:pt>
                <c:pt idx="55">
                  <c:v>238.70132622183786</c:v>
                </c:pt>
                <c:pt idx="56">
                  <c:v>239.08577073691694</c:v>
                </c:pt>
                <c:pt idx="57">
                  <c:v>239.47333379952184</c:v>
                </c:pt>
                <c:pt idx="58">
                  <c:v>239.86419175609001</c:v>
                </c:pt>
                <c:pt idx="59">
                  <c:v>240.25852095305893</c:v>
                </c:pt>
                <c:pt idx="60">
                  <c:v>240.65652558104043</c:v>
                </c:pt>
                <c:pt idx="61">
                  <c:v>241.05841911203774</c:v>
                </c:pt>
                <c:pt idx="62">
                  <c:v>241.46444286222845</c:v>
                </c:pt>
                <c:pt idx="63">
                  <c:v>241.87484742918161</c:v>
                </c:pt>
                <c:pt idx="64">
                  <c:v>242.28992053603204</c:v>
                </c:pt>
                <c:pt idx="65">
                  <c:v>242.70996846869747</c:v>
                </c:pt>
                <c:pt idx="66">
                  <c:v>243.1353439200528</c:v>
                </c:pt>
                <c:pt idx="67">
                  <c:v>243.5664181457559</c:v>
                </c:pt>
                <c:pt idx="68">
                  <c:v>244.00361808981327</c:v>
                </c:pt>
                <c:pt idx="69">
                  <c:v>244.44741710318866</c:v>
                </c:pt>
                <c:pt idx="70">
                  <c:v>244.89833494380301</c:v>
                </c:pt>
                <c:pt idx="71">
                  <c:v>245.35696562070888</c:v>
                </c:pt>
                <c:pt idx="72">
                  <c:v>245.82397739409035</c:v>
                </c:pt>
                <c:pt idx="73">
                  <c:v>246.30013133804601</c:v>
                </c:pt>
                <c:pt idx="74">
                  <c:v>246.7862906219803</c:v>
                </c:pt>
                <c:pt idx="75">
                  <c:v>247.28345763616937</c:v>
                </c:pt>
                <c:pt idx="76">
                  <c:v>247.79277399176109</c:v>
                </c:pt>
                <c:pt idx="77">
                  <c:v>248.31557620912366</c:v>
                </c:pt>
                <c:pt idx="78">
                  <c:v>248.85342356201997</c:v>
                </c:pt>
                <c:pt idx="79">
                  <c:v>249.40814448456484</c:v>
                </c:pt>
                <c:pt idx="80">
                  <c:v>249.98192010374808</c:v>
                </c:pt>
                <c:pt idx="81">
                  <c:v>250.57731208360875</c:v>
                </c:pt>
                <c:pt idx="82">
                  <c:v>251.19740184610683</c:v>
                </c:pt>
                <c:pt idx="83">
                  <c:v>251.84586482225492</c:v>
                </c:pt>
                <c:pt idx="84">
                  <c:v>252.52705398464113</c:v>
                </c:pt>
                <c:pt idx="85">
                  <c:v>253.24608337995213</c:v>
                </c:pt>
                <c:pt idx="86">
                  <c:v>254.00883741036458</c:v>
                </c:pt>
                <c:pt idx="87">
                  <c:v>254.82175736154193</c:v>
                </c:pt>
                <c:pt idx="88">
                  <c:v>255.69137733306204</c:v>
                </c:pt>
                <c:pt idx="89">
                  <c:v>256.62313622031218</c:v>
                </c:pt>
                <c:pt idx="90">
                  <c:v>257.61921515028217</c:v>
                </c:pt>
                <c:pt idx="91">
                  <c:v>258.67506624116351</c:v>
                </c:pt>
                <c:pt idx="92">
                  <c:v>259.77583926664283</c:v>
                </c:pt>
                <c:pt idx="93">
                  <c:v>260.89684572547412</c:v>
                </c:pt>
                <c:pt idx="94">
                  <c:v>262.00940611808971</c:v>
                </c:pt>
                <c:pt idx="95">
                  <c:v>263.08688285103995</c:v>
                </c:pt>
                <c:pt idx="96">
                  <c:v>264.10987781620292</c:v>
                </c:pt>
                <c:pt idx="97">
                  <c:v>265.06901680821841</c:v>
                </c:pt>
                <c:pt idx="98">
                  <c:v>265.96326031124437</c:v>
                </c:pt>
                <c:pt idx="99">
                  <c:v>266.79657147942828</c:v>
                </c:pt>
                <c:pt idx="100">
                  <c:v>267.57491824746978</c:v>
                </c:pt>
                <c:pt idx="101">
                  <c:v>268.30463052433498</c:v>
                </c:pt>
                <c:pt idx="102">
                  <c:v>268.99163911915775</c:v>
                </c:pt>
                <c:pt idx="103">
                  <c:v>269.64123442506224</c:v>
                </c:pt>
                <c:pt idx="104">
                  <c:v>270.25800144942269</c:v>
                </c:pt>
                <c:pt idx="105">
                  <c:v>270.84586622082077</c:v>
                </c:pt>
                <c:pt idx="106">
                  <c:v>271.40817932156835</c:v>
                </c:pt>
                <c:pt idx="107">
                  <c:v>271.94779942023081</c:v>
                </c:pt>
                <c:pt idx="108">
                  <c:v>272.46716752275842</c:v>
                </c:pt>
                <c:pt idx="109">
                  <c:v>272.96839050500932</c:v>
                </c:pt>
                <c:pt idx="110">
                  <c:v>273.45326895692409</c:v>
                </c:pt>
                <c:pt idx="111">
                  <c:v>273.92336215226561</c:v>
                </c:pt>
                <c:pt idx="112">
                  <c:v>274.38002517418494</c:v>
                </c:pt>
                <c:pt idx="113">
                  <c:v>274.82444604078717</c:v>
                </c:pt>
                <c:pt idx="114">
                  <c:v>275.25767354930571</c:v>
                </c:pt>
                <c:pt idx="115">
                  <c:v>275.68061727610223</c:v>
                </c:pt>
                <c:pt idx="116">
                  <c:v>276.09409398362396</c:v>
                </c:pt>
                <c:pt idx="117">
                  <c:v>276.49882762040369</c:v>
                </c:pt>
                <c:pt idx="118">
                  <c:v>276.89546788384263</c:v>
                </c:pt>
                <c:pt idx="119">
                  <c:v>277.28459022021042</c:v>
                </c:pt>
                <c:pt idx="120">
                  <c:v>277.66671438742804</c:v>
                </c:pt>
                <c:pt idx="121">
                  <c:v>278.04231373645922</c:v>
                </c:pt>
                <c:pt idx="122">
                  <c:v>278.41180592991901</c:v>
                </c:pt>
                <c:pt idx="123">
                  <c:v>278.7755900676396</c:v>
                </c:pt>
                <c:pt idx="124">
                  <c:v>279.13400956110451</c:v>
                </c:pt>
                <c:pt idx="125">
                  <c:v>279.48738925901426</c:v>
                </c:pt>
                <c:pt idx="126">
                  <c:v>279.83601688450375</c:v>
                </c:pt>
                <c:pt idx="127">
                  <c:v>280.18017087931634</c:v>
                </c:pt>
                <c:pt idx="128">
                  <c:v>280.52010184102107</c:v>
                </c:pt>
                <c:pt idx="129">
                  <c:v>280.85603252301263</c:v>
                </c:pt>
                <c:pt idx="130">
                  <c:v>281.18817639729428</c:v>
                </c:pt>
                <c:pt idx="131">
                  <c:v>281.51673765447782</c:v>
                </c:pt>
                <c:pt idx="132">
                  <c:v>281.84189264100075</c:v>
                </c:pt>
                <c:pt idx="133">
                  <c:v>282.16381770330048</c:v>
                </c:pt>
                <c:pt idx="134">
                  <c:v>282.48266134364019</c:v>
                </c:pt>
                <c:pt idx="135">
                  <c:v>282.79858134567445</c:v>
                </c:pt>
                <c:pt idx="136">
                  <c:v>283.11170764888351</c:v>
                </c:pt>
                <c:pt idx="137">
                  <c:v>283.42217019274761</c:v>
                </c:pt>
                <c:pt idx="138">
                  <c:v>283.73009891674701</c:v>
                </c:pt>
                <c:pt idx="139">
                  <c:v>284.03559591618756</c:v>
                </c:pt>
                <c:pt idx="140">
                  <c:v>284.33878184915812</c:v>
                </c:pt>
                <c:pt idx="141">
                  <c:v>284.63974952957312</c:v>
                </c:pt>
                <c:pt idx="142">
                  <c:v>284.93859177134703</c:v>
                </c:pt>
                <c:pt idx="143">
                  <c:v>285.23540138839428</c:v>
                </c:pt>
                <c:pt idx="144">
                  <c:v>285.53026191323789</c:v>
                </c:pt>
                <c:pt idx="145">
                  <c:v>285.82324759700947</c:v>
                </c:pt>
                <c:pt idx="146">
                  <c:v>286.11444197223199</c:v>
                </c:pt>
                <c:pt idx="147">
                  <c:v>286.40391929003698</c:v>
                </c:pt>
                <c:pt idx="148">
                  <c:v>286.6917445201646</c:v>
                </c:pt>
                <c:pt idx="149">
                  <c:v>286.97797335096357</c:v>
                </c:pt>
                <c:pt idx="150">
                  <c:v>287.2626800335654</c:v>
                </c:pt>
                <c:pt idx="151">
                  <c:v>287.54592025631882</c:v>
                </c:pt>
                <c:pt idx="152">
                  <c:v>287.82774970757242</c:v>
                </c:pt>
                <c:pt idx="153">
                  <c:v>288.10821479428353</c:v>
                </c:pt>
                <c:pt idx="154">
                  <c:v>288.38737120480073</c:v>
                </c:pt>
                <c:pt idx="155">
                  <c:v>288.6652653460813</c:v>
                </c:pt>
                <c:pt idx="156">
                  <c:v>288.94195290647389</c:v>
                </c:pt>
                <c:pt idx="157">
                  <c:v>289.21747101154432</c:v>
                </c:pt>
                <c:pt idx="158">
                  <c:v>289.49185678685836</c:v>
                </c:pt>
                <c:pt idx="159">
                  <c:v>289.76515663937323</c:v>
                </c:pt>
                <c:pt idx="160">
                  <c:v>290.03740769465475</c:v>
                </c:pt>
                <c:pt idx="161">
                  <c:v>290.30864707826862</c:v>
                </c:pt>
                <c:pt idx="162">
                  <c:v>290.57891191578068</c:v>
                </c:pt>
                <c:pt idx="163">
                  <c:v>290.84823933275675</c:v>
                </c:pt>
                <c:pt idx="164">
                  <c:v>291.1166571733711</c:v>
                </c:pt>
                <c:pt idx="165">
                  <c:v>291.38420256318955</c:v>
                </c:pt>
                <c:pt idx="166">
                  <c:v>291.65090334638643</c:v>
                </c:pt>
                <c:pt idx="167">
                  <c:v>291.91678736713607</c:v>
                </c:pt>
                <c:pt idx="168">
                  <c:v>292.18188246961279</c:v>
                </c:pt>
                <c:pt idx="169">
                  <c:v>292.44622577938242</c:v>
                </c:pt>
                <c:pt idx="170">
                  <c:v>292.70983585922784</c:v>
                </c:pt>
                <c:pt idx="171">
                  <c:v>292.97273127193188</c:v>
                </c:pt>
              </c:numCache>
            </c:numRef>
          </c:val>
          <c:smooth val="0"/>
          <c:extLst>
            <c:ext xmlns:c16="http://schemas.microsoft.com/office/drawing/2014/chart" uri="{C3380CC4-5D6E-409C-BE32-E72D297353CC}">
              <c16:uniqueId val="{00000001-99DC-4856-8E48-32D86A447044}"/>
            </c:ext>
          </c:extLst>
        </c:ser>
        <c:dLbls>
          <c:showLegendKey val="0"/>
          <c:showVal val="0"/>
          <c:showCatName val="0"/>
          <c:showSerName val="0"/>
          <c:showPercent val="0"/>
          <c:showBubbleSize val="0"/>
        </c:dLbls>
        <c:smooth val="0"/>
        <c:axId val="1724269967"/>
        <c:axId val="1724269551"/>
      </c:lineChart>
      <c:catAx>
        <c:axId val="17242699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724269551"/>
        <c:crosses val="autoZero"/>
        <c:auto val="1"/>
        <c:lblAlgn val="ctr"/>
        <c:lblOffset val="100"/>
        <c:noMultiLvlLbl val="0"/>
      </c:catAx>
      <c:valAx>
        <c:axId val="1724269551"/>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724269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'LNG 상태량'!$B$1</c:f>
              <c:strCache>
                <c:ptCount val="1"/>
                <c:pt idx="0">
                  <c:v>Density</c:v>
                </c:pt>
              </c:strCache>
            </c:strRef>
          </c:tx>
          <c:spPr>
            <a:ln w="28575" cap="rnd">
              <a:solidFill>
                <a:schemeClr val="accent1"/>
              </a:solidFill>
              <a:round/>
            </a:ln>
            <a:effectLst/>
          </c:spPr>
          <c:marker>
            <c:symbol val="none"/>
          </c:marker>
          <c:cat>
            <c:numRef>
              <c:f>'LNG 상태량'!$A$3:$A$174</c:f>
              <c:numCache>
                <c:formatCode>General</c:formatCode>
                <c:ptCount val="172"/>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pt idx="23">
                  <c:v>135</c:v>
                </c:pt>
                <c:pt idx="24">
                  <c:v>136</c:v>
                </c:pt>
                <c:pt idx="25">
                  <c:v>137</c:v>
                </c:pt>
                <c:pt idx="26">
                  <c:v>138</c:v>
                </c:pt>
                <c:pt idx="27">
                  <c:v>139</c:v>
                </c:pt>
                <c:pt idx="28">
                  <c:v>140</c:v>
                </c:pt>
                <c:pt idx="29">
                  <c:v>141</c:v>
                </c:pt>
                <c:pt idx="30">
                  <c:v>142</c:v>
                </c:pt>
                <c:pt idx="31">
                  <c:v>143</c:v>
                </c:pt>
                <c:pt idx="32">
                  <c:v>144</c:v>
                </c:pt>
                <c:pt idx="33">
                  <c:v>145</c:v>
                </c:pt>
                <c:pt idx="34">
                  <c:v>146</c:v>
                </c:pt>
                <c:pt idx="35">
                  <c:v>147</c:v>
                </c:pt>
                <c:pt idx="36">
                  <c:v>148</c:v>
                </c:pt>
                <c:pt idx="37">
                  <c:v>149</c:v>
                </c:pt>
                <c:pt idx="38">
                  <c:v>150</c:v>
                </c:pt>
                <c:pt idx="39">
                  <c:v>151</c:v>
                </c:pt>
                <c:pt idx="40">
                  <c:v>152</c:v>
                </c:pt>
                <c:pt idx="41">
                  <c:v>153</c:v>
                </c:pt>
                <c:pt idx="42">
                  <c:v>154</c:v>
                </c:pt>
                <c:pt idx="43">
                  <c:v>155</c:v>
                </c:pt>
                <c:pt idx="44">
                  <c:v>156</c:v>
                </c:pt>
                <c:pt idx="45">
                  <c:v>157</c:v>
                </c:pt>
                <c:pt idx="46">
                  <c:v>158</c:v>
                </c:pt>
                <c:pt idx="47">
                  <c:v>159</c:v>
                </c:pt>
                <c:pt idx="48">
                  <c:v>160</c:v>
                </c:pt>
                <c:pt idx="49">
                  <c:v>161</c:v>
                </c:pt>
                <c:pt idx="50">
                  <c:v>162</c:v>
                </c:pt>
                <c:pt idx="51">
                  <c:v>163</c:v>
                </c:pt>
                <c:pt idx="52">
                  <c:v>164</c:v>
                </c:pt>
                <c:pt idx="53">
                  <c:v>165</c:v>
                </c:pt>
                <c:pt idx="54">
                  <c:v>166</c:v>
                </c:pt>
                <c:pt idx="55">
                  <c:v>167</c:v>
                </c:pt>
                <c:pt idx="56">
                  <c:v>168</c:v>
                </c:pt>
                <c:pt idx="57">
                  <c:v>169</c:v>
                </c:pt>
                <c:pt idx="58">
                  <c:v>170</c:v>
                </c:pt>
                <c:pt idx="59">
                  <c:v>171</c:v>
                </c:pt>
                <c:pt idx="60">
                  <c:v>172</c:v>
                </c:pt>
                <c:pt idx="61">
                  <c:v>173</c:v>
                </c:pt>
                <c:pt idx="62">
                  <c:v>174</c:v>
                </c:pt>
                <c:pt idx="63">
                  <c:v>175</c:v>
                </c:pt>
                <c:pt idx="64">
                  <c:v>176</c:v>
                </c:pt>
                <c:pt idx="65">
                  <c:v>177</c:v>
                </c:pt>
                <c:pt idx="66">
                  <c:v>178</c:v>
                </c:pt>
                <c:pt idx="67">
                  <c:v>179</c:v>
                </c:pt>
                <c:pt idx="68">
                  <c:v>180</c:v>
                </c:pt>
                <c:pt idx="69">
                  <c:v>181</c:v>
                </c:pt>
                <c:pt idx="70">
                  <c:v>182</c:v>
                </c:pt>
                <c:pt idx="71">
                  <c:v>183</c:v>
                </c:pt>
                <c:pt idx="72">
                  <c:v>184</c:v>
                </c:pt>
                <c:pt idx="73">
                  <c:v>185</c:v>
                </c:pt>
                <c:pt idx="74">
                  <c:v>186</c:v>
                </c:pt>
                <c:pt idx="75">
                  <c:v>187</c:v>
                </c:pt>
                <c:pt idx="76">
                  <c:v>188</c:v>
                </c:pt>
                <c:pt idx="77">
                  <c:v>189</c:v>
                </c:pt>
                <c:pt idx="78">
                  <c:v>190</c:v>
                </c:pt>
                <c:pt idx="79">
                  <c:v>191</c:v>
                </c:pt>
                <c:pt idx="80">
                  <c:v>192</c:v>
                </c:pt>
                <c:pt idx="81">
                  <c:v>193</c:v>
                </c:pt>
                <c:pt idx="82">
                  <c:v>194</c:v>
                </c:pt>
                <c:pt idx="83">
                  <c:v>195</c:v>
                </c:pt>
                <c:pt idx="84">
                  <c:v>196</c:v>
                </c:pt>
                <c:pt idx="85">
                  <c:v>197</c:v>
                </c:pt>
                <c:pt idx="86">
                  <c:v>198</c:v>
                </c:pt>
                <c:pt idx="87">
                  <c:v>199</c:v>
                </c:pt>
                <c:pt idx="88">
                  <c:v>200</c:v>
                </c:pt>
                <c:pt idx="89">
                  <c:v>201</c:v>
                </c:pt>
                <c:pt idx="90">
                  <c:v>202</c:v>
                </c:pt>
                <c:pt idx="91">
                  <c:v>203</c:v>
                </c:pt>
                <c:pt idx="92">
                  <c:v>204</c:v>
                </c:pt>
                <c:pt idx="93">
                  <c:v>205</c:v>
                </c:pt>
                <c:pt idx="94">
                  <c:v>206</c:v>
                </c:pt>
                <c:pt idx="95">
                  <c:v>207</c:v>
                </c:pt>
                <c:pt idx="96">
                  <c:v>208</c:v>
                </c:pt>
                <c:pt idx="97">
                  <c:v>209</c:v>
                </c:pt>
                <c:pt idx="98">
                  <c:v>210</c:v>
                </c:pt>
                <c:pt idx="99">
                  <c:v>211</c:v>
                </c:pt>
                <c:pt idx="100">
                  <c:v>212</c:v>
                </c:pt>
                <c:pt idx="101">
                  <c:v>213</c:v>
                </c:pt>
                <c:pt idx="102">
                  <c:v>214</c:v>
                </c:pt>
                <c:pt idx="103">
                  <c:v>215</c:v>
                </c:pt>
                <c:pt idx="104">
                  <c:v>216</c:v>
                </c:pt>
                <c:pt idx="105">
                  <c:v>217</c:v>
                </c:pt>
                <c:pt idx="106">
                  <c:v>218</c:v>
                </c:pt>
                <c:pt idx="107">
                  <c:v>219</c:v>
                </c:pt>
                <c:pt idx="108">
                  <c:v>220</c:v>
                </c:pt>
                <c:pt idx="109">
                  <c:v>221</c:v>
                </c:pt>
                <c:pt idx="110">
                  <c:v>222</c:v>
                </c:pt>
                <c:pt idx="111">
                  <c:v>223</c:v>
                </c:pt>
                <c:pt idx="112">
                  <c:v>224</c:v>
                </c:pt>
                <c:pt idx="113">
                  <c:v>225</c:v>
                </c:pt>
                <c:pt idx="114">
                  <c:v>226</c:v>
                </c:pt>
                <c:pt idx="115">
                  <c:v>227</c:v>
                </c:pt>
                <c:pt idx="116">
                  <c:v>228</c:v>
                </c:pt>
                <c:pt idx="117">
                  <c:v>229</c:v>
                </c:pt>
                <c:pt idx="118">
                  <c:v>230</c:v>
                </c:pt>
                <c:pt idx="119">
                  <c:v>231</c:v>
                </c:pt>
                <c:pt idx="120">
                  <c:v>232</c:v>
                </c:pt>
                <c:pt idx="121">
                  <c:v>233</c:v>
                </c:pt>
                <c:pt idx="122">
                  <c:v>234</c:v>
                </c:pt>
                <c:pt idx="123">
                  <c:v>235</c:v>
                </c:pt>
                <c:pt idx="124">
                  <c:v>236</c:v>
                </c:pt>
                <c:pt idx="125">
                  <c:v>237</c:v>
                </c:pt>
                <c:pt idx="126">
                  <c:v>238</c:v>
                </c:pt>
                <c:pt idx="127">
                  <c:v>239</c:v>
                </c:pt>
                <c:pt idx="128">
                  <c:v>240</c:v>
                </c:pt>
                <c:pt idx="129">
                  <c:v>241</c:v>
                </c:pt>
                <c:pt idx="130">
                  <c:v>242</c:v>
                </c:pt>
                <c:pt idx="131">
                  <c:v>243</c:v>
                </c:pt>
                <c:pt idx="132">
                  <c:v>244</c:v>
                </c:pt>
                <c:pt idx="133">
                  <c:v>245</c:v>
                </c:pt>
                <c:pt idx="134">
                  <c:v>246</c:v>
                </c:pt>
                <c:pt idx="135">
                  <c:v>247</c:v>
                </c:pt>
                <c:pt idx="136">
                  <c:v>248</c:v>
                </c:pt>
                <c:pt idx="137">
                  <c:v>249</c:v>
                </c:pt>
                <c:pt idx="138">
                  <c:v>250</c:v>
                </c:pt>
                <c:pt idx="139">
                  <c:v>251</c:v>
                </c:pt>
                <c:pt idx="140">
                  <c:v>252</c:v>
                </c:pt>
                <c:pt idx="141">
                  <c:v>253</c:v>
                </c:pt>
                <c:pt idx="142">
                  <c:v>254</c:v>
                </c:pt>
                <c:pt idx="143">
                  <c:v>255</c:v>
                </c:pt>
                <c:pt idx="144">
                  <c:v>256</c:v>
                </c:pt>
                <c:pt idx="145">
                  <c:v>257</c:v>
                </c:pt>
                <c:pt idx="146">
                  <c:v>258</c:v>
                </c:pt>
                <c:pt idx="147">
                  <c:v>259</c:v>
                </c:pt>
                <c:pt idx="148">
                  <c:v>260</c:v>
                </c:pt>
                <c:pt idx="149">
                  <c:v>261</c:v>
                </c:pt>
                <c:pt idx="150">
                  <c:v>262</c:v>
                </c:pt>
                <c:pt idx="151">
                  <c:v>263</c:v>
                </c:pt>
                <c:pt idx="152">
                  <c:v>264</c:v>
                </c:pt>
                <c:pt idx="153">
                  <c:v>265</c:v>
                </c:pt>
                <c:pt idx="154">
                  <c:v>266</c:v>
                </c:pt>
                <c:pt idx="155">
                  <c:v>267</c:v>
                </c:pt>
                <c:pt idx="156">
                  <c:v>268</c:v>
                </c:pt>
                <c:pt idx="157">
                  <c:v>269</c:v>
                </c:pt>
                <c:pt idx="158">
                  <c:v>270</c:v>
                </c:pt>
                <c:pt idx="159">
                  <c:v>271</c:v>
                </c:pt>
                <c:pt idx="160">
                  <c:v>272</c:v>
                </c:pt>
                <c:pt idx="161">
                  <c:v>273</c:v>
                </c:pt>
                <c:pt idx="162">
                  <c:v>274</c:v>
                </c:pt>
                <c:pt idx="163">
                  <c:v>275</c:v>
                </c:pt>
                <c:pt idx="164">
                  <c:v>276</c:v>
                </c:pt>
                <c:pt idx="165">
                  <c:v>277</c:v>
                </c:pt>
                <c:pt idx="166">
                  <c:v>278</c:v>
                </c:pt>
                <c:pt idx="167">
                  <c:v>279</c:v>
                </c:pt>
                <c:pt idx="168">
                  <c:v>280</c:v>
                </c:pt>
                <c:pt idx="169">
                  <c:v>281</c:v>
                </c:pt>
                <c:pt idx="170">
                  <c:v>282</c:v>
                </c:pt>
                <c:pt idx="171">
                  <c:v>283</c:v>
                </c:pt>
              </c:numCache>
            </c:numRef>
          </c:cat>
          <c:val>
            <c:numRef>
              <c:f>'LNG 상태량'!$B$3:$B$174</c:f>
              <c:numCache>
                <c:formatCode>General</c:formatCode>
                <c:ptCount val="172"/>
                <c:pt idx="0">
                  <c:v>428.04</c:v>
                </c:pt>
                <c:pt idx="1">
                  <c:v>426.68</c:v>
                </c:pt>
                <c:pt idx="2">
                  <c:v>425.31</c:v>
                </c:pt>
                <c:pt idx="3">
                  <c:v>423.93</c:v>
                </c:pt>
                <c:pt idx="4">
                  <c:v>422.56</c:v>
                </c:pt>
                <c:pt idx="5">
                  <c:v>421.17</c:v>
                </c:pt>
                <c:pt idx="6">
                  <c:v>419.78</c:v>
                </c:pt>
                <c:pt idx="7">
                  <c:v>418.38</c:v>
                </c:pt>
                <c:pt idx="8">
                  <c:v>416.97</c:v>
                </c:pt>
                <c:pt idx="9">
                  <c:v>415.56</c:v>
                </c:pt>
                <c:pt idx="10">
                  <c:v>414.14</c:v>
                </c:pt>
                <c:pt idx="11">
                  <c:v>412.71</c:v>
                </c:pt>
                <c:pt idx="12">
                  <c:v>411.28</c:v>
                </c:pt>
                <c:pt idx="13">
                  <c:v>409.83</c:v>
                </c:pt>
                <c:pt idx="14">
                  <c:v>408.38</c:v>
                </c:pt>
                <c:pt idx="15">
                  <c:v>406.92</c:v>
                </c:pt>
                <c:pt idx="16">
                  <c:v>405.46</c:v>
                </c:pt>
                <c:pt idx="17">
                  <c:v>403.98</c:v>
                </c:pt>
                <c:pt idx="18">
                  <c:v>402.49</c:v>
                </c:pt>
                <c:pt idx="19">
                  <c:v>401</c:v>
                </c:pt>
                <c:pt idx="20">
                  <c:v>399.5</c:v>
                </c:pt>
                <c:pt idx="21">
                  <c:v>397.98</c:v>
                </c:pt>
                <c:pt idx="22">
                  <c:v>396.46</c:v>
                </c:pt>
                <c:pt idx="23">
                  <c:v>394.93</c:v>
                </c:pt>
                <c:pt idx="24">
                  <c:v>393.38</c:v>
                </c:pt>
                <c:pt idx="25">
                  <c:v>391.83</c:v>
                </c:pt>
                <c:pt idx="26">
                  <c:v>390.26</c:v>
                </c:pt>
                <c:pt idx="27">
                  <c:v>388.69</c:v>
                </c:pt>
                <c:pt idx="28">
                  <c:v>387.1</c:v>
                </c:pt>
                <c:pt idx="29">
                  <c:v>385.5</c:v>
                </c:pt>
                <c:pt idx="30">
                  <c:v>383.89</c:v>
                </c:pt>
                <c:pt idx="31">
                  <c:v>382.26</c:v>
                </c:pt>
                <c:pt idx="32">
                  <c:v>380.62</c:v>
                </c:pt>
                <c:pt idx="33">
                  <c:v>378.97</c:v>
                </c:pt>
                <c:pt idx="34">
                  <c:v>377.3</c:v>
                </c:pt>
                <c:pt idx="35">
                  <c:v>375.62</c:v>
                </c:pt>
                <c:pt idx="36">
                  <c:v>373.92</c:v>
                </c:pt>
                <c:pt idx="37">
                  <c:v>372.21</c:v>
                </c:pt>
                <c:pt idx="38">
                  <c:v>370.48</c:v>
                </c:pt>
                <c:pt idx="39">
                  <c:v>368.73</c:v>
                </c:pt>
                <c:pt idx="40">
                  <c:v>366.97</c:v>
                </c:pt>
                <c:pt idx="41">
                  <c:v>365.19</c:v>
                </c:pt>
                <c:pt idx="42">
                  <c:v>363.39</c:v>
                </c:pt>
                <c:pt idx="43">
                  <c:v>361.57</c:v>
                </c:pt>
                <c:pt idx="44">
                  <c:v>359.73</c:v>
                </c:pt>
                <c:pt idx="45">
                  <c:v>357.87</c:v>
                </c:pt>
                <c:pt idx="46">
                  <c:v>355.99</c:v>
                </c:pt>
                <c:pt idx="47">
                  <c:v>354.09</c:v>
                </c:pt>
                <c:pt idx="48">
                  <c:v>352.16</c:v>
                </c:pt>
                <c:pt idx="49">
                  <c:v>350.21</c:v>
                </c:pt>
                <c:pt idx="50">
                  <c:v>348.23</c:v>
                </c:pt>
                <c:pt idx="51">
                  <c:v>346.22</c:v>
                </c:pt>
                <c:pt idx="52">
                  <c:v>344.19</c:v>
                </c:pt>
                <c:pt idx="53">
                  <c:v>342.13</c:v>
                </c:pt>
                <c:pt idx="54">
                  <c:v>340.04</c:v>
                </c:pt>
                <c:pt idx="55">
                  <c:v>337.92</c:v>
                </c:pt>
                <c:pt idx="56">
                  <c:v>335.76</c:v>
                </c:pt>
                <c:pt idx="57">
                  <c:v>333.57</c:v>
                </c:pt>
                <c:pt idx="58">
                  <c:v>331.34</c:v>
                </c:pt>
                <c:pt idx="59">
                  <c:v>329.07</c:v>
                </c:pt>
                <c:pt idx="60">
                  <c:v>326.76</c:v>
                </c:pt>
                <c:pt idx="61">
                  <c:v>324.41000000000003</c:v>
                </c:pt>
                <c:pt idx="62">
                  <c:v>322.01</c:v>
                </c:pt>
                <c:pt idx="63">
                  <c:v>319.56</c:v>
                </c:pt>
                <c:pt idx="64">
                  <c:v>317.06</c:v>
                </c:pt>
                <c:pt idx="65">
                  <c:v>314.51</c:v>
                </c:pt>
                <c:pt idx="66">
                  <c:v>311.89</c:v>
                </c:pt>
                <c:pt idx="67">
                  <c:v>309.22000000000003</c:v>
                </c:pt>
                <c:pt idx="68">
                  <c:v>306.47000000000003</c:v>
                </c:pt>
                <c:pt idx="69">
                  <c:v>303.66000000000003</c:v>
                </c:pt>
                <c:pt idx="70">
                  <c:v>300.77</c:v>
                </c:pt>
                <c:pt idx="71">
                  <c:v>297.79000000000002</c:v>
                </c:pt>
                <c:pt idx="72">
                  <c:v>294.72000000000003</c:v>
                </c:pt>
                <c:pt idx="73">
                  <c:v>291.55</c:v>
                </c:pt>
                <c:pt idx="74">
                  <c:v>288.27999999999997</c:v>
                </c:pt>
                <c:pt idx="75">
                  <c:v>284.89</c:v>
                </c:pt>
                <c:pt idx="76">
                  <c:v>281.37</c:v>
                </c:pt>
                <c:pt idx="77">
                  <c:v>277.7</c:v>
                </c:pt>
                <c:pt idx="78">
                  <c:v>273.88</c:v>
                </c:pt>
                <c:pt idx="79">
                  <c:v>269.88</c:v>
                </c:pt>
                <c:pt idx="80">
                  <c:v>265.68</c:v>
                </c:pt>
                <c:pt idx="81">
                  <c:v>261.26</c:v>
                </c:pt>
                <c:pt idx="82">
                  <c:v>256.58999999999997</c:v>
                </c:pt>
                <c:pt idx="83">
                  <c:v>251.63</c:v>
                </c:pt>
                <c:pt idx="84">
                  <c:v>246.34</c:v>
                </c:pt>
                <c:pt idx="85">
                  <c:v>240.69</c:v>
                </c:pt>
                <c:pt idx="86">
                  <c:v>234.61</c:v>
                </c:pt>
                <c:pt idx="87">
                  <c:v>228.05</c:v>
                </c:pt>
                <c:pt idx="88">
                  <c:v>220.96</c:v>
                </c:pt>
                <c:pt idx="89">
                  <c:v>213.31</c:v>
                </c:pt>
                <c:pt idx="90">
                  <c:v>205.09</c:v>
                </c:pt>
                <c:pt idx="91">
                  <c:v>196.37</c:v>
                </c:pt>
                <c:pt idx="92">
                  <c:v>187.3</c:v>
                </c:pt>
                <c:pt idx="93">
                  <c:v>178.14</c:v>
                </c:pt>
                <c:pt idx="94">
                  <c:v>169.22</c:v>
                </c:pt>
                <c:pt idx="95">
                  <c:v>160.81</c:v>
                </c:pt>
                <c:pt idx="96">
                  <c:v>153.09</c:v>
                </c:pt>
                <c:pt idx="97">
                  <c:v>146.15</c:v>
                </c:pt>
                <c:pt idx="98">
                  <c:v>139.97</c:v>
                </c:pt>
                <c:pt idx="99">
                  <c:v>134.49</c:v>
                </c:pt>
                <c:pt idx="100">
                  <c:v>129.62</c:v>
                </c:pt>
                <c:pt idx="101">
                  <c:v>125.26</c:v>
                </c:pt>
                <c:pt idx="102">
                  <c:v>121.35</c:v>
                </c:pt>
                <c:pt idx="103">
                  <c:v>117.82</c:v>
                </c:pt>
                <c:pt idx="104">
                  <c:v>114.61</c:v>
                </c:pt>
                <c:pt idx="105">
                  <c:v>111.68</c:v>
                </c:pt>
                <c:pt idx="106">
                  <c:v>108.99</c:v>
                </c:pt>
                <c:pt idx="107">
                  <c:v>106.5</c:v>
                </c:pt>
                <c:pt idx="108">
                  <c:v>104.2</c:v>
                </c:pt>
                <c:pt idx="109">
                  <c:v>102.06</c:v>
                </c:pt>
                <c:pt idx="110">
                  <c:v>100.06</c:v>
                </c:pt>
                <c:pt idx="111">
                  <c:v>98.182000000000002</c:v>
                </c:pt>
                <c:pt idx="112">
                  <c:v>96.42</c:v>
                </c:pt>
                <c:pt idx="113">
                  <c:v>94.757999999999996</c:v>
                </c:pt>
                <c:pt idx="114">
                  <c:v>93.186999999999998</c:v>
                </c:pt>
                <c:pt idx="115">
                  <c:v>91.698999999999998</c:v>
                </c:pt>
                <c:pt idx="116">
                  <c:v>90.287000000000006</c:v>
                </c:pt>
                <c:pt idx="117">
                  <c:v>88.942999999999998</c:v>
                </c:pt>
                <c:pt idx="118">
                  <c:v>87.661000000000001</c:v>
                </c:pt>
                <c:pt idx="119">
                  <c:v>86.438000000000002</c:v>
                </c:pt>
                <c:pt idx="120">
                  <c:v>85.266999999999996</c:v>
                </c:pt>
                <c:pt idx="121">
                  <c:v>84.146000000000001</c:v>
                </c:pt>
                <c:pt idx="122">
                  <c:v>83.07</c:v>
                </c:pt>
                <c:pt idx="123">
                  <c:v>82.037000000000006</c:v>
                </c:pt>
                <c:pt idx="124">
                  <c:v>81.043000000000006</c:v>
                </c:pt>
                <c:pt idx="125">
                  <c:v>80.085999999999999</c:v>
                </c:pt>
                <c:pt idx="126">
                  <c:v>79.162999999999997</c:v>
                </c:pt>
                <c:pt idx="127">
                  <c:v>78.272999999999996</c:v>
                </c:pt>
                <c:pt idx="128">
                  <c:v>77.412999999999997</c:v>
                </c:pt>
                <c:pt idx="129">
                  <c:v>76.581000000000003</c:v>
                </c:pt>
                <c:pt idx="130">
                  <c:v>75.775999999999996</c:v>
                </c:pt>
                <c:pt idx="131">
                  <c:v>74.995999999999995</c:v>
                </c:pt>
                <c:pt idx="132">
                  <c:v>74.239999999999995</c:v>
                </c:pt>
                <c:pt idx="133">
                  <c:v>73.507000000000005</c:v>
                </c:pt>
                <c:pt idx="134">
                  <c:v>72.795000000000002</c:v>
                </c:pt>
                <c:pt idx="135">
                  <c:v>72.102999999999994</c:v>
                </c:pt>
                <c:pt idx="136">
                  <c:v>71.430000000000007</c:v>
                </c:pt>
                <c:pt idx="137">
                  <c:v>70.775999999999996</c:v>
                </c:pt>
                <c:pt idx="138">
                  <c:v>70.138999999999996</c:v>
                </c:pt>
                <c:pt idx="139">
                  <c:v>69.519000000000005</c:v>
                </c:pt>
                <c:pt idx="140">
                  <c:v>68.915000000000006</c:v>
                </c:pt>
                <c:pt idx="141">
                  <c:v>68.325999999999993</c:v>
                </c:pt>
                <c:pt idx="142">
                  <c:v>67.751000000000005</c:v>
                </c:pt>
                <c:pt idx="143">
                  <c:v>67.19</c:v>
                </c:pt>
                <c:pt idx="144">
                  <c:v>66.641999999999996</c:v>
                </c:pt>
                <c:pt idx="145">
                  <c:v>66.106999999999999</c:v>
                </c:pt>
                <c:pt idx="146">
                  <c:v>65.584000000000003</c:v>
                </c:pt>
                <c:pt idx="147">
                  <c:v>65.072999999999993</c:v>
                </c:pt>
                <c:pt idx="148">
                  <c:v>64.572999999999993</c:v>
                </c:pt>
                <c:pt idx="149">
                  <c:v>64.084000000000003</c:v>
                </c:pt>
                <c:pt idx="150">
                  <c:v>63.604999999999997</c:v>
                </c:pt>
                <c:pt idx="151">
                  <c:v>63.136000000000003</c:v>
                </c:pt>
                <c:pt idx="152">
                  <c:v>62.677</c:v>
                </c:pt>
                <c:pt idx="153">
                  <c:v>62.226999999999997</c:v>
                </c:pt>
                <c:pt idx="154">
                  <c:v>61.786000000000001</c:v>
                </c:pt>
                <c:pt idx="155">
                  <c:v>61.353000000000002</c:v>
                </c:pt>
                <c:pt idx="156">
                  <c:v>60.929000000000002</c:v>
                </c:pt>
                <c:pt idx="157">
                  <c:v>60.512999999999998</c:v>
                </c:pt>
                <c:pt idx="158">
                  <c:v>60.104999999999997</c:v>
                </c:pt>
                <c:pt idx="159">
                  <c:v>59.704000000000001</c:v>
                </c:pt>
                <c:pt idx="160">
                  <c:v>59.31</c:v>
                </c:pt>
                <c:pt idx="161">
                  <c:v>58.923999999999999</c:v>
                </c:pt>
                <c:pt idx="162">
                  <c:v>58.543999999999997</c:v>
                </c:pt>
                <c:pt idx="163">
                  <c:v>58.170999999999999</c:v>
                </c:pt>
                <c:pt idx="164">
                  <c:v>57.804000000000002</c:v>
                </c:pt>
                <c:pt idx="165">
                  <c:v>57.444000000000003</c:v>
                </c:pt>
                <c:pt idx="166">
                  <c:v>57.088999999999999</c:v>
                </c:pt>
                <c:pt idx="167">
                  <c:v>56.741</c:v>
                </c:pt>
                <c:pt idx="168">
                  <c:v>56.398000000000003</c:v>
                </c:pt>
                <c:pt idx="169">
                  <c:v>56.06</c:v>
                </c:pt>
                <c:pt idx="170">
                  <c:v>55.728000000000002</c:v>
                </c:pt>
                <c:pt idx="171">
                  <c:v>55.401000000000003</c:v>
                </c:pt>
              </c:numCache>
            </c:numRef>
          </c:val>
          <c:smooth val="0"/>
          <c:extLst>
            <c:ext xmlns:c16="http://schemas.microsoft.com/office/drawing/2014/chart" uri="{C3380CC4-5D6E-409C-BE32-E72D297353CC}">
              <c16:uniqueId val="{00000000-40F0-4CA5-B86D-B46ABDADC46A}"/>
            </c:ext>
          </c:extLst>
        </c:ser>
        <c:dLbls>
          <c:showLegendKey val="0"/>
          <c:showVal val="0"/>
          <c:showCatName val="0"/>
          <c:showSerName val="0"/>
          <c:showPercent val="0"/>
          <c:showBubbleSize val="0"/>
        </c:dLbls>
        <c:smooth val="0"/>
        <c:axId val="1934180895"/>
        <c:axId val="2122914527"/>
      </c:lineChart>
      <c:catAx>
        <c:axId val="19341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122914527"/>
        <c:crosses val="autoZero"/>
        <c:auto val="1"/>
        <c:lblAlgn val="ctr"/>
        <c:lblOffset val="100"/>
        <c:noMultiLvlLbl val="0"/>
      </c:catAx>
      <c:valAx>
        <c:axId val="212291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34180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'LNG 상태량'!$C$1</c:f>
              <c:strCache>
                <c:ptCount val="1"/>
                <c:pt idx="0">
                  <c:v>Cp</c:v>
                </c:pt>
              </c:strCache>
            </c:strRef>
          </c:tx>
          <c:spPr>
            <a:ln w="28575" cap="rnd">
              <a:solidFill>
                <a:schemeClr val="accent1"/>
              </a:solidFill>
              <a:round/>
            </a:ln>
            <a:effectLst/>
          </c:spPr>
          <c:marker>
            <c:symbol val="none"/>
          </c:marker>
          <c:cat>
            <c:numRef>
              <c:f>'LNG 상태량'!$A$3:$A$174</c:f>
              <c:numCache>
                <c:formatCode>General</c:formatCode>
                <c:ptCount val="172"/>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pt idx="23">
                  <c:v>135</c:v>
                </c:pt>
                <c:pt idx="24">
                  <c:v>136</c:v>
                </c:pt>
                <c:pt idx="25">
                  <c:v>137</c:v>
                </c:pt>
                <c:pt idx="26">
                  <c:v>138</c:v>
                </c:pt>
                <c:pt idx="27">
                  <c:v>139</c:v>
                </c:pt>
                <c:pt idx="28">
                  <c:v>140</c:v>
                </c:pt>
                <c:pt idx="29">
                  <c:v>141</c:v>
                </c:pt>
                <c:pt idx="30">
                  <c:v>142</c:v>
                </c:pt>
                <c:pt idx="31">
                  <c:v>143</c:v>
                </c:pt>
                <c:pt idx="32">
                  <c:v>144</c:v>
                </c:pt>
                <c:pt idx="33">
                  <c:v>145</c:v>
                </c:pt>
                <c:pt idx="34">
                  <c:v>146</c:v>
                </c:pt>
                <c:pt idx="35">
                  <c:v>147</c:v>
                </c:pt>
                <c:pt idx="36">
                  <c:v>148</c:v>
                </c:pt>
                <c:pt idx="37">
                  <c:v>149</c:v>
                </c:pt>
                <c:pt idx="38">
                  <c:v>150</c:v>
                </c:pt>
                <c:pt idx="39">
                  <c:v>151</c:v>
                </c:pt>
                <c:pt idx="40">
                  <c:v>152</c:v>
                </c:pt>
                <c:pt idx="41">
                  <c:v>153</c:v>
                </c:pt>
                <c:pt idx="42">
                  <c:v>154</c:v>
                </c:pt>
                <c:pt idx="43">
                  <c:v>155</c:v>
                </c:pt>
                <c:pt idx="44">
                  <c:v>156</c:v>
                </c:pt>
                <c:pt idx="45">
                  <c:v>157</c:v>
                </c:pt>
                <c:pt idx="46">
                  <c:v>158</c:v>
                </c:pt>
                <c:pt idx="47">
                  <c:v>159</c:v>
                </c:pt>
                <c:pt idx="48">
                  <c:v>160</c:v>
                </c:pt>
                <c:pt idx="49">
                  <c:v>161</c:v>
                </c:pt>
                <c:pt idx="50">
                  <c:v>162</c:v>
                </c:pt>
                <c:pt idx="51">
                  <c:v>163</c:v>
                </c:pt>
                <c:pt idx="52">
                  <c:v>164</c:v>
                </c:pt>
                <c:pt idx="53">
                  <c:v>165</c:v>
                </c:pt>
                <c:pt idx="54">
                  <c:v>166</c:v>
                </c:pt>
                <c:pt idx="55">
                  <c:v>167</c:v>
                </c:pt>
                <c:pt idx="56">
                  <c:v>168</c:v>
                </c:pt>
                <c:pt idx="57">
                  <c:v>169</c:v>
                </c:pt>
                <c:pt idx="58">
                  <c:v>170</c:v>
                </c:pt>
                <c:pt idx="59">
                  <c:v>171</c:v>
                </c:pt>
                <c:pt idx="60">
                  <c:v>172</c:v>
                </c:pt>
                <c:pt idx="61">
                  <c:v>173</c:v>
                </c:pt>
                <c:pt idx="62">
                  <c:v>174</c:v>
                </c:pt>
                <c:pt idx="63">
                  <c:v>175</c:v>
                </c:pt>
                <c:pt idx="64">
                  <c:v>176</c:v>
                </c:pt>
                <c:pt idx="65">
                  <c:v>177</c:v>
                </c:pt>
                <c:pt idx="66">
                  <c:v>178</c:v>
                </c:pt>
                <c:pt idx="67">
                  <c:v>179</c:v>
                </c:pt>
                <c:pt idx="68">
                  <c:v>180</c:v>
                </c:pt>
                <c:pt idx="69">
                  <c:v>181</c:v>
                </c:pt>
                <c:pt idx="70">
                  <c:v>182</c:v>
                </c:pt>
                <c:pt idx="71">
                  <c:v>183</c:v>
                </c:pt>
                <c:pt idx="72">
                  <c:v>184</c:v>
                </c:pt>
                <c:pt idx="73">
                  <c:v>185</c:v>
                </c:pt>
                <c:pt idx="74">
                  <c:v>186</c:v>
                </c:pt>
                <c:pt idx="75">
                  <c:v>187</c:v>
                </c:pt>
                <c:pt idx="76">
                  <c:v>188</c:v>
                </c:pt>
                <c:pt idx="77">
                  <c:v>189</c:v>
                </c:pt>
                <c:pt idx="78">
                  <c:v>190</c:v>
                </c:pt>
                <c:pt idx="79">
                  <c:v>191</c:v>
                </c:pt>
                <c:pt idx="80">
                  <c:v>192</c:v>
                </c:pt>
                <c:pt idx="81">
                  <c:v>193</c:v>
                </c:pt>
                <c:pt idx="82">
                  <c:v>194</c:v>
                </c:pt>
                <c:pt idx="83">
                  <c:v>195</c:v>
                </c:pt>
                <c:pt idx="84">
                  <c:v>196</c:v>
                </c:pt>
                <c:pt idx="85">
                  <c:v>197</c:v>
                </c:pt>
                <c:pt idx="86">
                  <c:v>198</c:v>
                </c:pt>
                <c:pt idx="87">
                  <c:v>199</c:v>
                </c:pt>
                <c:pt idx="88">
                  <c:v>200</c:v>
                </c:pt>
                <c:pt idx="89">
                  <c:v>201</c:v>
                </c:pt>
                <c:pt idx="90">
                  <c:v>202</c:v>
                </c:pt>
                <c:pt idx="91">
                  <c:v>203</c:v>
                </c:pt>
                <c:pt idx="92">
                  <c:v>204</c:v>
                </c:pt>
                <c:pt idx="93">
                  <c:v>205</c:v>
                </c:pt>
                <c:pt idx="94">
                  <c:v>206</c:v>
                </c:pt>
                <c:pt idx="95">
                  <c:v>207</c:v>
                </c:pt>
                <c:pt idx="96">
                  <c:v>208</c:v>
                </c:pt>
                <c:pt idx="97">
                  <c:v>209</c:v>
                </c:pt>
                <c:pt idx="98">
                  <c:v>210</c:v>
                </c:pt>
                <c:pt idx="99">
                  <c:v>211</c:v>
                </c:pt>
                <c:pt idx="100">
                  <c:v>212</c:v>
                </c:pt>
                <c:pt idx="101">
                  <c:v>213</c:v>
                </c:pt>
                <c:pt idx="102">
                  <c:v>214</c:v>
                </c:pt>
                <c:pt idx="103">
                  <c:v>215</c:v>
                </c:pt>
                <c:pt idx="104">
                  <c:v>216</c:v>
                </c:pt>
                <c:pt idx="105">
                  <c:v>217</c:v>
                </c:pt>
                <c:pt idx="106">
                  <c:v>218</c:v>
                </c:pt>
                <c:pt idx="107">
                  <c:v>219</c:v>
                </c:pt>
                <c:pt idx="108">
                  <c:v>220</c:v>
                </c:pt>
                <c:pt idx="109">
                  <c:v>221</c:v>
                </c:pt>
                <c:pt idx="110">
                  <c:v>222</c:v>
                </c:pt>
                <c:pt idx="111">
                  <c:v>223</c:v>
                </c:pt>
                <c:pt idx="112">
                  <c:v>224</c:v>
                </c:pt>
                <c:pt idx="113">
                  <c:v>225</c:v>
                </c:pt>
                <c:pt idx="114">
                  <c:v>226</c:v>
                </c:pt>
                <c:pt idx="115">
                  <c:v>227</c:v>
                </c:pt>
                <c:pt idx="116">
                  <c:v>228</c:v>
                </c:pt>
                <c:pt idx="117">
                  <c:v>229</c:v>
                </c:pt>
                <c:pt idx="118">
                  <c:v>230</c:v>
                </c:pt>
                <c:pt idx="119">
                  <c:v>231</c:v>
                </c:pt>
                <c:pt idx="120">
                  <c:v>232</c:v>
                </c:pt>
                <c:pt idx="121">
                  <c:v>233</c:v>
                </c:pt>
                <c:pt idx="122">
                  <c:v>234</c:v>
                </c:pt>
                <c:pt idx="123">
                  <c:v>235</c:v>
                </c:pt>
                <c:pt idx="124">
                  <c:v>236</c:v>
                </c:pt>
                <c:pt idx="125">
                  <c:v>237</c:v>
                </c:pt>
                <c:pt idx="126">
                  <c:v>238</c:v>
                </c:pt>
                <c:pt idx="127">
                  <c:v>239</c:v>
                </c:pt>
                <c:pt idx="128">
                  <c:v>240</c:v>
                </c:pt>
                <c:pt idx="129">
                  <c:v>241</c:v>
                </c:pt>
                <c:pt idx="130">
                  <c:v>242</c:v>
                </c:pt>
                <c:pt idx="131">
                  <c:v>243</c:v>
                </c:pt>
                <c:pt idx="132">
                  <c:v>244</c:v>
                </c:pt>
                <c:pt idx="133">
                  <c:v>245</c:v>
                </c:pt>
                <c:pt idx="134">
                  <c:v>246</c:v>
                </c:pt>
                <c:pt idx="135">
                  <c:v>247</c:v>
                </c:pt>
                <c:pt idx="136">
                  <c:v>248</c:v>
                </c:pt>
                <c:pt idx="137">
                  <c:v>249</c:v>
                </c:pt>
                <c:pt idx="138">
                  <c:v>250</c:v>
                </c:pt>
                <c:pt idx="139">
                  <c:v>251</c:v>
                </c:pt>
                <c:pt idx="140">
                  <c:v>252</c:v>
                </c:pt>
                <c:pt idx="141">
                  <c:v>253</c:v>
                </c:pt>
                <c:pt idx="142">
                  <c:v>254</c:v>
                </c:pt>
                <c:pt idx="143">
                  <c:v>255</c:v>
                </c:pt>
                <c:pt idx="144">
                  <c:v>256</c:v>
                </c:pt>
                <c:pt idx="145">
                  <c:v>257</c:v>
                </c:pt>
                <c:pt idx="146">
                  <c:v>258</c:v>
                </c:pt>
                <c:pt idx="147">
                  <c:v>259</c:v>
                </c:pt>
                <c:pt idx="148">
                  <c:v>260</c:v>
                </c:pt>
                <c:pt idx="149">
                  <c:v>261</c:v>
                </c:pt>
                <c:pt idx="150">
                  <c:v>262</c:v>
                </c:pt>
                <c:pt idx="151">
                  <c:v>263</c:v>
                </c:pt>
                <c:pt idx="152">
                  <c:v>264</c:v>
                </c:pt>
                <c:pt idx="153">
                  <c:v>265</c:v>
                </c:pt>
                <c:pt idx="154">
                  <c:v>266</c:v>
                </c:pt>
                <c:pt idx="155">
                  <c:v>267</c:v>
                </c:pt>
                <c:pt idx="156">
                  <c:v>268</c:v>
                </c:pt>
                <c:pt idx="157">
                  <c:v>269</c:v>
                </c:pt>
                <c:pt idx="158">
                  <c:v>270</c:v>
                </c:pt>
                <c:pt idx="159">
                  <c:v>271</c:v>
                </c:pt>
                <c:pt idx="160">
                  <c:v>272</c:v>
                </c:pt>
                <c:pt idx="161">
                  <c:v>273</c:v>
                </c:pt>
                <c:pt idx="162">
                  <c:v>274</c:v>
                </c:pt>
                <c:pt idx="163">
                  <c:v>275</c:v>
                </c:pt>
                <c:pt idx="164">
                  <c:v>276</c:v>
                </c:pt>
                <c:pt idx="165">
                  <c:v>277</c:v>
                </c:pt>
                <c:pt idx="166">
                  <c:v>278</c:v>
                </c:pt>
                <c:pt idx="167">
                  <c:v>279</c:v>
                </c:pt>
                <c:pt idx="168">
                  <c:v>280</c:v>
                </c:pt>
                <c:pt idx="169">
                  <c:v>281</c:v>
                </c:pt>
                <c:pt idx="170">
                  <c:v>282</c:v>
                </c:pt>
                <c:pt idx="171">
                  <c:v>283</c:v>
                </c:pt>
              </c:numCache>
            </c:numRef>
          </c:cat>
          <c:val>
            <c:numRef>
              <c:f>'LNG 상태량'!$C$3:$C$174</c:f>
              <c:numCache>
                <c:formatCode>General</c:formatCode>
                <c:ptCount val="172"/>
                <c:pt idx="0">
                  <c:v>3.4127000000000001</c:v>
                </c:pt>
                <c:pt idx="1">
                  <c:v>3.4177</c:v>
                </c:pt>
                <c:pt idx="2">
                  <c:v>3.4228000000000001</c:v>
                </c:pt>
                <c:pt idx="3">
                  <c:v>3.4281000000000001</c:v>
                </c:pt>
                <c:pt idx="4">
                  <c:v>3.4333999999999998</c:v>
                </c:pt>
                <c:pt idx="5">
                  <c:v>3.4388999999999998</c:v>
                </c:pt>
                <c:pt idx="6">
                  <c:v>3.4445000000000001</c:v>
                </c:pt>
                <c:pt idx="7">
                  <c:v>3.4502999999999999</c:v>
                </c:pt>
                <c:pt idx="8">
                  <c:v>3.4561999999999999</c:v>
                </c:pt>
                <c:pt idx="9">
                  <c:v>3.4622000000000002</c:v>
                </c:pt>
                <c:pt idx="10">
                  <c:v>3.4683999999999999</c:v>
                </c:pt>
                <c:pt idx="11">
                  <c:v>3.4748000000000001</c:v>
                </c:pt>
                <c:pt idx="12">
                  <c:v>3.4813000000000001</c:v>
                </c:pt>
                <c:pt idx="13">
                  <c:v>3.488</c:v>
                </c:pt>
                <c:pt idx="14">
                  <c:v>3.4948999999999999</c:v>
                </c:pt>
                <c:pt idx="15">
                  <c:v>3.5019999999999998</c:v>
                </c:pt>
                <c:pt idx="16">
                  <c:v>3.5091999999999999</c:v>
                </c:pt>
                <c:pt idx="17">
                  <c:v>3.5167000000000002</c:v>
                </c:pt>
                <c:pt idx="18">
                  <c:v>3.5244</c:v>
                </c:pt>
                <c:pt idx="19">
                  <c:v>3.5323000000000002</c:v>
                </c:pt>
                <c:pt idx="20">
                  <c:v>3.5405000000000002</c:v>
                </c:pt>
                <c:pt idx="21">
                  <c:v>3.5489000000000002</c:v>
                </c:pt>
                <c:pt idx="22">
                  <c:v>3.5575000000000001</c:v>
                </c:pt>
                <c:pt idx="23">
                  <c:v>3.5663999999999998</c:v>
                </c:pt>
                <c:pt idx="24">
                  <c:v>3.5756000000000001</c:v>
                </c:pt>
                <c:pt idx="25">
                  <c:v>3.5851000000000002</c:v>
                </c:pt>
                <c:pt idx="26">
                  <c:v>3.5948000000000002</c:v>
                </c:pt>
                <c:pt idx="27">
                  <c:v>3.6049000000000002</c:v>
                </c:pt>
                <c:pt idx="28">
                  <c:v>3.6154000000000002</c:v>
                </c:pt>
                <c:pt idx="29">
                  <c:v>3.6261000000000001</c:v>
                </c:pt>
                <c:pt idx="30">
                  <c:v>3.6372</c:v>
                </c:pt>
                <c:pt idx="31">
                  <c:v>3.6488</c:v>
                </c:pt>
                <c:pt idx="32">
                  <c:v>3.6606999999999998</c:v>
                </c:pt>
                <c:pt idx="33">
                  <c:v>3.673</c:v>
                </c:pt>
                <c:pt idx="34">
                  <c:v>3.6857000000000002</c:v>
                </c:pt>
                <c:pt idx="35">
                  <c:v>3.6989000000000001</c:v>
                </c:pt>
                <c:pt idx="36">
                  <c:v>3.7126000000000001</c:v>
                </c:pt>
                <c:pt idx="37">
                  <c:v>3.7267999999999999</c:v>
                </c:pt>
                <c:pt idx="38">
                  <c:v>3.7416</c:v>
                </c:pt>
                <c:pt idx="39">
                  <c:v>3.7568000000000001</c:v>
                </c:pt>
                <c:pt idx="40">
                  <c:v>3.7726999999999999</c:v>
                </c:pt>
                <c:pt idx="41">
                  <c:v>3.7892000000000001</c:v>
                </c:pt>
                <c:pt idx="42">
                  <c:v>3.8062999999999998</c:v>
                </c:pt>
                <c:pt idx="43">
                  <c:v>3.8241999999999998</c:v>
                </c:pt>
                <c:pt idx="44">
                  <c:v>3.8426999999999998</c:v>
                </c:pt>
                <c:pt idx="45">
                  <c:v>3.8620999999999999</c:v>
                </c:pt>
                <c:pt idx="46">
                  <c:v>3.8822000000000001</c:v>
                </c:pt>
                <c:pt idx="47">
                  <c:v>3.9032</c:v>
                </c:pt>
                <c:pt idx="48">
                  <c:v>3.9251999999999998</c:v>
                </c:pt>
                <c:pt idx="49">
                  <c:v>3.9481000000000002</c:v>
                </c:pt>
                <c:pt idx="50">
                  <c:v>3.972</c:v>
                </c:pt>
                <c:pt idx="51">
                  <c:v>3.9971000000000001</c:v>
                </c:pt>
                <c:pt idx="52">
                  <c:v>4.0233999999999996</c:v>
                </c:pt>
                <c:pt idx="53">
                  <c:v>4.0509000000000004</c:v>
                </c:pt>
                <c:pt idx="54">
                  <c:v>4.0797999999999996</c:v>
                </c:pt>
                <c:pt idx="55">
                  <c:v>4.1101999999999999</c:v>
                </c:pt>
                <c:pt idx="56">
                  <c:v>4.1421000000000001</c:v>
                </c:pt>
                <c:pt idx="57">
                  <c:v>4.1757</c:v>
                </c:pt>
                <c:pt idx="58">
                  <c:v>4.2111999999999998</c:v>
                </c:pt>
                <c:pt idx="59">
                  <c:v>4.2485999999999997</c:v>
                </c:pt>
                <c:pt idx="60">
                  <c:v>4.2881999999999998</c:v>
                </c:pt>
                <c:pt idx="61">
                  <c:v>4.3300999999999998</c:v>
                </c:pt>
                <c:pt idx="62">
                  <c:v>4.3746</c:v>
                </c:pt>
                <c:pt idx="63">
                  <c:v>4.4218000000000002</c:v>
                </c:pt>
                <c:pt idx="64">
                  <c:v>4.4721000000000002</c:v>
                </c:pt>
                <c:pt idx="65">
                  <c:v>4.5256999999999996</c:v>
                </c:pt>
                <c:pt idx="66">
                  <c:v>4.5831</c:v>
                </c:pt>
                <c:pt idx="67">
                  <c:v>4.6444999999999999</c:v>
                </c:pt>
                <c:pt idx="68">
                  <c:v>4.7104999999999997</c:v>
                </c:pt>
                <c:pt idx="69">
                  <c:v>4.7816000000000001</c:v>
                </c:pt>
                <c:pt idx="70">
                  <c:v>4.8582999999999998</c:v>
                </c:pt>
                <c:pt idx="71">
                  <c:v>4.9413999999999998</c:v>
                </c:pt>
                <c:pt idx="72">
                  <c:v>5.0316999999999998</c:v>
                </c:pt>
                <c:pt idx="73">
                  <c:v>5.1302000000000003</c:v>
                </c:pt>
                <c:pt idx="74">
                  <c:v>5.2380000000000004</c:v>
                </c:pt>
                <c:pt idx="75">
                  <c:v>5.3566000000000003</c:v>
                </c:pt>
                <c:pt idx="76">
                  <c:v>5.4874999999999998</c:v>
                </c:pt>
                <c:pt idx="77">
                  <c:v>5.6327999999999996</c:v>
                </c:pt>
                <c:pt idx="78">
                  <c:v>5.7949000000000002</c:v>
                </c:pt>
                <c:pt idx="79">
                  <c:v>5.9767000000000001</c:v>
                </c:pt>
                <c:pt idx="80">
                  <c:v>6.1820000000000004</c:v>
                </c:pt>
                <c:pt idx="81">
                  <c:v>6.4149000000000003</c:v>
                </c:pt>
                <c:pt idx="82">
                  <c:v>6.681</c:v>
                </c:pt>
                <c:pt idx="83">
                  <c:v>6.9866999999999999</c:v>
                </c:pt>
                <c:pt idx="84">
                  <c:v>7.3392999999999997</c:v>
                </c:pt>
                <c:pt idx="85">
                  <c:v>7.7469999999999999</c:v>
                </c:pt>
                <c:pt idx="86">
                  <c:v>8.2180999999999997</c:v>
                </c:pt>
                <c:pt idx="87">
                  <c:v>8.7585999999999995</c:v>
                </c:pt>
                <c:pt idx="88">
                  <c:v>9.3695000000000004</c:v>
                </c:pt>
                <c:pt idx="89">
                  <c:v>10.039</c:v>
                </c:pt>
                <c:pt idx="90">
                  <c:v>10.731999999999999</c:v>
                </c:pt>
                <c:pt idx="91">
                  <c:v>11.375999999999999</c:v>
                </c:pt>
                <c:pt idx="92">
                  <c:v>11.86</c:v>
                </c:pt>
                <c:pt idx="93">
                  <c:v>12.077999999999999</c:v>
                </c:pt>
                <c:pt idx="94">
                  <c:v>11.987</c:v>
                </c:pt>
                <c:pt idx="95">
                  <c:v>11.609</c:v>
                </c:pt>
                <c:pt idx="96">
                  <c:v>11.022</c:v>
                </c:pt>
                <c:pt idx="97">
                  <c:v>10.334</c:v>
                </c:pt>
                <c:pt idx="98">
                  <c:v>9.6348000000000003</c:v>
                </c:pt>
                <c:pt idx="99">
                  <c:v>8.9783000000000008</c:v>
                </c:pt>
                <c:pt idx="100">
                  <c:v>8.3861000000000008</c:v>
                </c:pt>
                <c:pt idx="101">
                  <c:v>7.8620999999999999</c:v>
                </c:pt>
                <c:pt idx="102">
                  <c:v>7.4020000000000001</c:v>
                </c:pt>
                <c:pt idx="103">
                  <c:v>6.9988999999999999</c:v>
                </c:pt>
                <c:pt idx="104">
                  <c:v>6.6452</c:v>
                </c:pt>
                <c:pt idx="105">
                  <c:v>6.3338000000000001</c:v>
                </c:pt>
                <c:pt idx="106">
                  <c:v>6.0585000000000004</c:v>
                </c:pt>
                <c:pt idx="107">
                  <c:v>5.8140000000000001</c:v>
                </c:pt>
                <c:pt idx="108">
                  <c:v>5.5957999999999997</c:v>
                </c:pt>
                <c:pt idx="109">
                  <c:v>5.4002999999999997</c:v>
                </c:pt>
                <c:pt idx="110">
                  <c:v>5.2241999999999997</c:v>
                </c:pt>
                <c:pt idx="111">
                  <c:v>5.0648999999999997</c:v>
                </c:pt>
                <c:pt idx="112">
                  <c:v>4.9202000000000004</c:v>
                </c:pt>
                <c:pt idx="113">
                  <c:v>4.7882999999999996</c:v>
                </c:pt>
                <c:pt idx="114">
                  <c:v>4.6677</c:v>
                </c:pt>
                <c:pt idx="115">
                  <c:v>4.5568999999999997</c:v>
                </c:pt>
                <c:pt idx="116">
                  <c:v>4.4549000000000003</c:v>
                </c:pt>
                <c:pt idx="117">
                  <c:v>4.3606999999999996</c:v>
                </c:pt>
                <c:pt idx="118">
                  <c:v>4.2735000000000003</c:v>
                </c:pt>
                <c:pt idx="119">
                  <c:v>4.1924999999999999</c:v>
                </c:pt>
                <c:pt idx="120">
                  <c:v>4.1170999999999998</c:v>
                </c:pt>
                <c:pt idx="121">
                  <c:v>4.0468000000000002</c:v>
                </c:pt>
                <c:pt idx="122">
                  <c:v>3.9809999999999999</c:v>
                </c:pt>
                <c:pt idx="123">
                  <c:v>3.9195000000000002</c:v>
                </c:pt>
                <c:pt idx="124">
                  <c:v>3.8616999999999999</c:v>
                </c:pt>
                <c:pt idx="125">
                  <c:v>3.8073999999999999</c:v>
                </c:pt>
                <c:pt idx="126">
                  <c:v>3.7562000000000002</c:v>
                </c:pt>
                <c:pt idx="127">
                  <c:v>3.7080000000000002</c:v>
                </c:pt>
                <c:pt idx="128">
                  <c:v>3.6625000000000001</c:v>
                </c:pt>
                <c:pt idx="129">
                  <c:v>3.6194000000000002</c:v>
                </c:pt>
                <c:pt idx="130">
                  <c:v>3.5785999999999998</c:v>
                </c:pt>
                <c:pt idx="131">
                  <c:v>3.54</c:v>
                </c:pt>
                <c:pt idx="132">
                  <c:v>3.5032999999999999</c:v>
                </c:pt>
                <c:pt idx="133">
                  <c:v>3.4685000000000001</c:v>
                </c:pt>
                <c:pt idx="134">
                  <c:v>3.4352999999999998</c:v>
                </c:pt>
                <c:pt idx="135">
                  <c:v>3.4037999999999999</c:v>
                </c:pt>
                <c:pt idx="136">
                  <c:v>3.3736999999999999</c:v>
                </c:pt>
                <c:pt idx="137">
                  <c:v>3.3450000000000002</c:v>
                </c:pt>
                <c:pt idx="138">
                  <c:v>3.3176999999999999</c:v>
                </c:pt>
                <c:pt idx="139">
                  <c:v>3.2915000000000001</c:v>
                </c:pt>
                <c:pt idx="140">
                  <c:v>3.2665999999999999</c:v>
                </c:pt>
                <c:pt idx="141">
                  <c:v>3.2427000000000001</c:v>
                </c:pt>
                <c:pt idx="142">
                  <c:v>3.2198000000000002</c:v>
                </c:pt>
                <c:pt idx="143">
                  <c:v>3.1979000000000002</c:v>
                </c:pt>
                <c:pt idx="144">
                  <c:v>3.1768999999999998</c:v>
                </c:pt>
                <c:pt idx="145">
                  <c:v>3.1566999999999998</c:v>
                </c:pt>
                <c:pt idx="146">
                  <c:v>3.1374</c:v>
                </c:pt>
                <c:pt idx="147">
                  <c:v>3.1189</c:v>
                </c:pt>
                <c:pt idx="148">
                  <c:v>3.1011000000000002</c:v>
                </c:pt>
                <c:pt idx="149">
                  <c:v>3.0838999999999999</c:v>
                </c:pt>
                <c:pt idx="150">
                  <c:v>3.0674999999999999</c:v>
                </c:pt>
                <c:pt idx="151">
                  <c:v>3.0516999999999999</c:v>
                </c:pt>
                <c:pt idx="152">
                  <c:v>3.0365000000000002</c:v>
                </c:pt>
                <c:pt idx="153">
                  <c:v>3.0217999999999998</c:v>
                </c:pt>
                <c:pt idx="154">
                  <c:v>3.0076999999999998</c:v>
                </c:pt>
                <c:pt idx="155">
                  <c:v>2.9941</c:v>
                </c:pt>
                <c:pt idx="156">
                  <c:v>2.9811000000000001</c:v>
                </c:pt>
                <c:pt idx="157">
                  <c:v>2.9685000000000001</c:v>
                </c:pt>
                <c:pt idx="158">
                  <c:v>2.9563000000000001</c:v>
                </c:pt>
                <c:pt idx="159">
                  <c:v>2.9445999999999999</c:v>
                </c:pt>
                <c:pt idx="160">
                  <c:v>2.9333</c:v>
                </c:pt>
                <c:pt idx="161">
                  <c:v>2.9224000000000001</c:v>
                </c:pt>
                <c:pt idx="162">
                  <c:v>2.9119000000000002</c:v>
                </c:pt>
                <c:pt idx="163">
                  <c:v>2.9018000000000002</c:v>
                </c:pt>
                <c:pt idx="164">
                  <c:v>2.8919999999999999</c:v>
                </c:pt>
                <c:pt idx="165">
                  <c:v>2.8826000000000001</c:v>
                </c:pt>
                <c:pt idx="166">
                  <c:v>2.8734999999999999</c:v>
                </c:pt>
                <c:pt idx="167">
                  <c:v>2.8647</c:v>
                </c:pt>
                <c:pt idx="168">
                  <c:v>2.8561999999999999</c:v>
                </c:pt>
                <c:pt idx="169">
                  <c:v>2.8481000000000001</c:v>
                </c:pt>
                <c:pt idx="170">
                  <c:v>2.8401999999999998</c:v>
                </c:pt>
                <c:pt idx="171">
                  <c:v>2.8325</c:v>
                </c:pt>
              </c:numCache>
            </c:numRef>
          </c:val>
          <c:smooth val="0"/>
          <c:extLst>
            <c:ext xmlns:c16="http://schemas.microsoft.com/office/drawing/2014/chart" uri="{C3380CC4-5D6E-409C-BE32-E72D297353CC}">
              <c16:uniqueId val="{00000000-12A9-41C3-A44B-BB543A70859E}"/>
            </c:ext>
          </c:extLst>
        </c:ser>
        <c:dLbls>
          <c:showLegendKey val="0"/>
          <c:showVal val="0"/>
          <c:showCatName val="0"/>
          <c:showSerName val="0"/>
          <c:showPercent val="0"/>
          <c:showBubbleSize val="0"/>
        </c:dLbls>
        <c:smooth val="0"/>
        <c:axId val="1934180895"/>
        <c:axId val="2122914527"/>
      </c:lineChart>
      <c:catAx>
        <c:axId val="19341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122914527"/>
        <c:crosses val="autoZero"/>
        <c:auto val="1"/>
        <c:lblAlgn val="ctr"/>
        <c:lblOffset val="100"/>
        <c:noMultiLvlLbl val="0"/>
      </c:catAx>
      <c:valAx>
        <c:axId val="212291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34180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'LNG 상태량'!$E$1</c:f>
              <c:strCache>
                <c:ptCount val="1"/>
                <c:pt idx="0">
                  <c:v>Viscosity</c:v>
                </c:pt>
              </c:strCache>
            </c:strRef>
          </c:tx>
          <c:spPr>
            <a:ln w="28575" cap="rnd">
              <a:solidFill>
                <a:schemeClr val="accent1"/>
              </a:solidFill>
              <a:round/>
            </a:ln>
            <a:effectLst/>
          </c:spPr>
          <c:marker>
            <c:symbol val="none"/>
          </c:marker>
          <c:cat>
            <c:numRef>
              <c:f>'LNG 상태량'!$A$3:$A$174</c:f>
              <c:numCache>
                <c:formatCode>General</c:formatCode>
                <c:ptCount val="172"/>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pt idx="23">
                  <c:v>135</c:v>
                </c:pt>
                <c:pt idx="24">
                  <c:v>136</c:v>
                </c:pt>
                <c:pt idx="25">
                  <c:v>137</c:v>
                </c:pt>
                <c:pt idx="26">
                  <c:v>138</c:v>
                </c:pt>
                <c:pt idx="27">
                  <c:v>139</c:v>
                </c:pt>
                <c:pt idx="28">
                  <c:v>140</c:v>
                </c:pt>
                <c:pt idx="29">
                  <c:v>141</c:v>
                </c:pt>
                <c:pt idx="30">
                  <c:v>142</c:v>
                </c:pt>
                <c:pt idx="31">
                  <c:v>143</c:v>
                </c:pt>
                <c:pt idx="32">
                  <c:v>144</c:v>
                </c:pt>
                <c:pt idx="33">
                  <c:v>145</c:v>
                </c:pt>
                <c:pt idx="34">
                  <c:v>146</c:v>
                </c:pt>
                <c:pt idx="35">
                  <c:v>147</c:v>
                </c:pt>
                <c:pt idx="36">
                  <c:v>148</c:v>
                </c:pt>
                <c:pt idx="37">
                  <c:v>149</c:v>
                </c:pt>
                <c:pt idx="38">
                  <c:v>150</c:v>
                </c:pt>
                <c:pt idx="39">
                  <c:v>151</c:v>
                </c:pt>
                <c:pt idx="40">
                  <c:v>152</c:v>
                </c:pt>
                <c:pt idx="41">
                  <c:v>153</c:v>
                </c:pt>
                <c:pt idx="42">
                  <c:v>154</c:v>
                </c:pt>
                <c:pt idx="43">
                  <c:v>155</c:v>
                </c:pt>
                <c:pt idx="44">
                  <c:v>156</c:v>
                </c:pt>
                <c:pt idx="45">
                  <c:v>157</c:v>
                </c:pt>
                <c:pt idx="46">
                  <c:v>158</c:v>
                </c:pt>
                <c:pt idx="47">
                  <c:v>159</c:v>
                </c:pt>
                <c:pt idx="48">
                  <c:v>160</c:v>
                </c:pt>
                <c:pt idx="49">
                  <c:v>161</c:v>
                </c:pt>
                <c:pt idx="50">
                  <c:v>162</c:v>
                </c:pt>
                <c:pt idx="51">
                  <c:v>163</c:v>
                </c:pt>
                <c:pt idx="52">
                  <c:v>164</c:v>
                </c:pt>
                <c:pt idx="53">
                  <c:v>165</c:v>
                </c:pt>
                <c:pt idx="54">
                  <c:v>166</c:v>
                </c:pt>
                <c:pt idx="55">
                  <c:v>167</c:v>
                </c:pt>
                <c:pt idx="56">
                  <c:v>168</c:v>
                </c:pt>
                <c:pt idx="57">
                  <c:v>169</c:v>
                </c:pt>
                <c:pt idx="58">
                  <c:v>170</c:v>
                </c:pt>
                <c:pt idx="59">
                  <c:v>171</c:v>
                </c:pt>
                <c:pt idx="60">
                  <c:v>172</c:v>
                </c:pt>
                <c:pt idx="61">
                  <c:v>173</c:v>
                </c:pt>
                <c:pt idx="62">
                  <c:v>174</c:v>
                </c:pt>
                <c:pt idx="63">
                  <c:v>175</c:v>
                </c:pt>
                <c:pt idx="64">
                  <c:v>176</c:v>
                </c:pt>
                <c:pt idx="65">
                  <c:v>177</c:v>
                </c:pt>
                <c:pt idx="66">
                  <c:v>178</c:v>
                </c:pt>
                <c:pt idx="67">
                  <c:v>179</c:v>
                </c:pt>
                <c:pt idx="68">
                  <c:v>180</c:v>
                </c:pt>
                <c:pt idx="69">
                  <c:v>181</c:v>
                </c:pt>
                <c:pt idx="70">
                  <c:v>182</c:v>
                </c:pt>
                <c:pt idx="71">
                  <c:v>183</c:v>
                </c:pt>
                <c:pt idx="72">
                  <c:v>184</c:v>
                </c:pt>
                <c:pt idx="73">
                  <c:v>185</c:v>
                </c:pt>
                <c:pt idx="74">
                  <c:v>186</c:v>
                </c:pt>
                <c:pt idx="75">
                  <c:v>187</c:v>
                </c:pt>
                <c:pt idx="76">
                  <c:v>188</c:v>
                </c:pt>
                <c:pt idx="77">
                  <c:v>189</c:v>
                </c:pt>
                <c:pt idx="78">
                  <c:v>190</c:v>
                </c:pt>
                <c:pt idx="79">
                  <c:v>191</c:v>
                </c:pt>
                <c:pt idx="80">
                  <c:v>192</c:v>
                </c:pt>
                <c:pt idx="81">
                  <c:v>193</c:v>
                </c:pt>
                <c:pt idx="82">
                  <c:v>194</c:v>
                </c:pt>
                <c:pt idx="83">
                  <c:v>195</c:v>
                </c:pt>
                <c:pt idx="84">
                  <c:v>196</c:v>
                </c:pt>
                <c:pt idx="85">
                  <c:v>197</c:v>
                </c:pt>
                <c:pt idx="86">
                  <c:v>198</c:v>
                </c:pt>
                <c:pt idx="87">
                  <c:v>199</c:v>
                </c:pt>
                <c:pt idx="88">
                  <c:v>200</c:v>
                </c:pt>
                <c:pt idx="89">
                  <c:v>201</c:v>
                </c:pt>
                <c:pt idx="90">
                  <c:v>202</c:v>
                </c:pt>
                <c:pt idx="91">
                  <c:v>203</c:v>
                </c:pt>
                <c:pt idx="92">
                  <c:v>204</c:v>
                </c:pt>
                <c:pt idx="93">
                  <c:v>205</c:v>
                </c:pt>
                <c:pt idx="94">
                  <c:v>206</c:v>
                </c:pt>
                <c:pt idx="95">
                  <c:v>207</c:v>
                </c:pt>
                <c:pt idx="96">
                  <c:v>208</c:v>
                </c:pt>
                <c:pt idx="97">
                  <c:v>209</c:v>
                </c:pt>
                <c:pt idx="98">
                  <c:v>210</c:v>
                </c:pt>
                <c:pt idx="99">
                  <c:v>211</c:v>
                </c:pt>
                <c:pt idx="100">
                  <c:v>212</c:v>
                </c:pt>
                <c:pt idx="101">
                  <c:v>213</c:v>
                </c:pt>
                <c:pt idx="102">
                  <c:v>214</c:v>
                </c:pt>
                <c:pt idx="103">
                  <c:v>215</c:v>
                </c:pt>
                <c:pt idx="104">
                  <c:v>216</c:v>
                </c:pt>
                <c:pt idx="105">
                  <c:v>217</c:v>
                </c:pt>
                <c:pt idx="106">
                  <c:v>218</c:v>
                </c:pt>
                <c:pt idx="107">
                  <c:v>219</c:v>
                </c:pt>
                <c:pt idx="108">
                  <c:v>220</c:v>
                </c:pt>
                <c:pt idx="109">
                  <c:v>221</c:v>
                </c:pt>
                <c:pt idx="110">
                  <c:v>222</c:v>
                </c:pt>
                <c:pt idx="111">
                  <c:v>223</c:v>
                </c:pt>
                <c:pt idx="112">
                  <c:v>224</c:v>
                </c:pt>
                <c:pt idx="113">
                  <c:v>225</c:v>
                </c:pt>
                <c:pt idx="114">
                  <c:v>226</c:v>
                </c:pt>
                <c:pt idx="115">
                  <c:v>227</c:v>
                </c:pt>
                <c:pt idx="116">
                  <c:v>228</c:v>
                </c:pt>
                <c:pt idx="117">
                  <c:v>229</c:v>
                </c:pt>
                <c:pt idx="118">
                  <c:v>230</c:v>
                </c:pt>
                <c:pt idx="119">
                  <c:v>231</c:v>
                </c:pt>
                <c:pt idx="120">
                  <c:v>232</c:v>
                </c:pt>
                <c:pt idx="121">
                  <c:v>233</c:v>
                </c:pt>
                <c:pt idx="122">
                  <c:v>234</c:v>
                </c:pt>
                <c:pt idx="123">
                  <c:v>235</c:v>
                </c:pt>
                <c:pt idx="124">
                  <c:v>236</c:v>
                </c:pt>
                <c:pt idx="125">
                  <c:v>237</c:v>
                </c:pt>
                <c:pt idx="126">
                  <c:v>238</c:v>
                </c:pt>
                <c:pt idx="127">
                  <c:v>239</c:v>
                </c:pt>
                <c:pt idx="128">
                  <c:v>240</c:v>
                </c:pt>
                <c:pt idx="129">
                  <c:v>241</c:v>
                </c:pt>
                <c:pt idx="130">
                  <c:v>242</c:v>
                </c:pt>
                <c:pt idx="131">
                  <c:v>243</c:v>
                </c:pt>
                <c:pt idx="132">
                  <c:v>244</c:v>
                </c:pt>
                <c:pt idx="133">
                  <c:v>245</c:v>
                </c:pt>
                <c:pt idx="134">
                  <c:v>246</c:v>
                </c:pt>
                <c:pt idx="135">
                  <c:v>247</c:v>
                </c:pt>
                <c:pt idx="136">
                  <c:v>248</c:v>
                </c:pt>
                <c:pt idx="137">
                  <c:v>249</c:v>
                </c:pt>
                <c:pt idx="138">
                  <c:v>250</c:v>
                </c:pt>
                <c:pt idx="139">
                  <c:v>251</c:v>
                </c:pt>
                <c:pt idx="140">
                  <c:v>252</c:v>
                </c:pt>
                <c:pt idx="141">
                  <c:v>253</c:v>
                </c:pt>
                <c:pt idx="142">
                  <c:v>254</c:v>
                </c:pt>
                <c:pt idx="143">
                  <c:v>255</c:v>
                </c:pt>
                <c:pt idx="144">
                  <c:v>256</c:v>
                </c:pt>
                <c:pt idx="145">
                  <c:v>257</c:v>
                </c:pt>
                <c:pt idx="146">
                  <c:v>258</c:v>
                </c:pt>
                <c:pt idx="147">
                  <c:v>259</c:v>
                </c:pt>
                <c:pt idx="148">
                  <c:v>260</c:v>
                </c:pt>
                <c:pt idx="149">
                  <c:v>261</c:v>
                </c:pt>
                <c:pt idx="150">
                  <c:v>262</c:v>
                </c:pt>
                <c:pt idx="151">
                  <c:v>263</c:v>
                </c:pt>
                <c:pt idx="152">
                  <c:v>264</c:v>
                </c:pt>
                <c:pt idx="153">
                  <c:v>265</c:v>
                </c:pt>
                <c:pt idx="154">
                  <c:v>266</c:v>
                </c:pt>
                <c:pt idx="155">
                  <c:v>267</c:v>
                </c:pt>
                <c:pt idx="156">
                  <c:v>268</c:v>
                </c:pt>
                <c:pt idx="157">
                  <c:v>269</c:v>
                </c:pt>
                <c:pt idx="158">
                  <c:v>270</c:v>
                </c:pt>
                <c:pt idx="159">
                  <c:v>271</c:v>
                </c:pt>
                <c:pt idx="160">
                  <c:v>272</c:v>
                </c:pt>
                <c:pt idx="161">
                  <c:v>273</c:v>
                </c:pt>
                <c:pt idx="162">
                  <c:v>274</c:v>
                </c:pt>
                <c:pt idx="163">
                  <c:v>275</c:v>
                </c:pt>
                <c:pt idx="164">
                  <c:v>276</c:v>
                </c:pt>
                <c:pt idx="165">
                  <c:v>277</c:v>
                </c:pt>
                <c:pt idx="166">
                  <c:v>278</c:v>
                </c:pt>
                <c:pt idx="167">
                  <c:v>279</c:v>
                </c:pt>
                <c:pt idx="168">
                  <c:v>280</c:v>
                </c:pt>
                <c:pt idx="169">
                  <c:v>281</c:v>
                </c:pt>
                <c:pt idx="170">
                  <c:v>282</c:v>
                </c:pt>
                <c:pt idx="171">
                  <c:v>283</c:v>
                </c:pt>
              </c:numCache>
            </c:numRef>
          </c:cat>
          <c:val>
            <c:numRef>
              <c:f>'LNG 상태량'!$E$3:$E$174</c:f>
              <c:numCache>
                <c:formatCode>General</c:formatCode>
                <c:ptCount val="172"/>
                <c:pt idx="0">
                  <c:v>1.2718000000000001E-4</c:v>
                </c:pt>
                <c:pt idx="1">
                  <c:v>1.2454E-4</c:v>
                </c:pt>
                <c:pt idx="2">
                  <c:v>1.2197999999999999E-4</c:v>
                </c:pt>
                <c:pt idx="3">
                  <c:v>1.1951E-4</c:v>
                </c:pt>
                <c:pt idx="4">
                  <c:v>1.1711E-4</c:v>
                </c:pt>
                <c:pt idx="5">
                  <c:v>1.1477E-4</c:v>
                </c:pt>
                <c:pt idx="6">
                  <c:v>1.1251000000000001E-4</c:v>
                </c:pt>
                <c:pt idx="7">
                  <c:v>1.1031000000000001E-4</c:v>
                </c:pt>
                <c:pt idx="8">
                  <c:v>1.0817E-4</c:v>
                </c:pt>
                <c:pt idx="9">
                  <c:v>1.0609E-4</c:v>
                </c:pt>
                <c:pt idx="10">
                  <c:v>1.0407E-4</c:v>
                </c:pt>
                <c:pt idx="11">
                  <c:v>1.021E-4</c:v>
                </c:pt>
                <c:pt idx="12">
                  <c:v>1.0018000000000001E-4</c:v>
                </c:pt>
                <c:pt idx="13">
                  <c:v>9.8305000000000002E-5</c:v>
                </c:pt>
                <c:pt idx="14">
                  <c:v>9.6481E-5</c:v>
                </c:pt>
                <c:pt idx="15">
                  <c:v>9.4703000000000005E-5</c:v>
                </c:pt>
                <c:pt idx="16">
                  <c:v>9.2967000000000006E-5</c:v>
                </c:pt>
                <c:pt idx="17">
                  <c:v>9.1273999999999994E-5</c:v>
                </c:pt>
                <c:pt idx="18">
                  <c:v>8.9621000000000001E-5</c:v>
                </c:pt>
                <c:pt idx="19">
                  <c:v>8.8007E-5</c:v>
                </c:pt>
                <c:pt idx="20">
                  <c:v>8.6429999999999997E-5</c:v>
                </c:pt>
                <c:pt idx="21">
                  <c:v>8.4889000000000007E-5</c:v>
                </c:pt>
                <c:pt idx="22">
                  <c:v>8.3384E-5</c:v>
                </c:pt>
                <c:pt idx="23">
                  <c:v>8.1911999999999998E-5</c:v>
                </c:pt>
                <c:pt idx="24">
                  <c:v>8.0471999999999998E-5</c:v>
                </c:pt>
                <c:pt idx="25">
                  <c:v>7.9064000000000001E-5</c:v>
                </c:pt>
                <c:pt idx="26">
                  <c:v>7.7687000000000003E-5</c:v>
                </c:pt>
                <c:pt idx="27">
                  <c:v>7.6339000000000002E-5</c:v>
                </c:pt>
                <c:pt idx="28">
                  <c:v>7.5018999999999994E-5</c:v>
                </c:pt>
                <c:pt idx="29">
                  <c:v>7.3726999999999994E-5</c:v>
                </c:pt>
                <c:pt idx="30">
                  <c:v>7.2461999999999998E-5</c:v>
                </c:pt>
                <c:pt idx="31">
                  <c:v>7.1223000000000006E-5</c:v>
                </c:pt>
                <c:pt idx="32">
                  <c:v>7.0009E-5</c:v>
                </c:pt>
                <c:pt idx="33">
                  <c:v>6.8819000000000006E-5</c:v>
                </c:pt>
                <c:pt idx="34">
                  <c:v>6.7652999999999998E-5</c:v>
                </c:pt>
                <c:pt idx="35">
                  <c:v>6.6509999999999998E-5</c:v>
                </c:pt>
                <c:pt idx="36">
                  <c:v>6.5388000000000005E-5</c:v>
                </c:pt>
                <c:pt idx="37">
                  <c:v>6.4288999999999994E-5</c:v>
                </c:pt>
                <c:pt idx="38">
                  <c:v>6.321E-5</c:v>
                </c:pt>
                <c:pt idx="39">
                  <c:v>6.2150999999999995E-5</c:v>
                </c:pt>
                <c:pt idx="40">
                  <c:v>6.1111999999999994E-5</c:v>
                </c:pt>
                <c:pt idx="41">
                  <c:v>6.0092E-5</c:v>
                </c:pt>
                <c:pt idx="42">
                  <c:v>5.9089999999999998E-5</c:v>
                </c:pt>
                <c:pt idx="43">
                  <c:v>5.8105E-5</c:v>
                </c:pt>
                <c:pt idx="44">
                  <c:v>5.7138000000000001E-5</c:v>
                </c:pt>
                <c:pt idx="45">
                  <c:v>5.6187999999999998E-5</c:v>
                </c:pt>
                <c:pt idx="46">
                  <c:v>5.5253000000000001E-5</c:v>
                </c:pt>
                <c:pt idx="47">
                  <c:v>5.4335000000000001E-5</c:v>
                </c:pt>
                <c:pt idx="48">
                  <c:v>5.3430999999999997E-5</c:v>
                </c:pt>
                <c:pt idx="49">
                  <c:v>5.2540999999999997E-5</c:v>
                </c:pt>
                <c:pt idx="50">
                  <c:v>5.1666000000000003E-5</c:v>
                </c:pt>
                <c:pt idx="51">
                  <c:v>5.0803999999999997E-5</c:v>
                </c:pt>
                <c:pt idx="52">
                  <c:v>4.9954999999999999E-5</c:v>
                </c:pt>
                <c:pt idx="53">
                  <c:v>4.9119000000000002E-5</c:v>
                </c:pt>
                <c:pt idx="54">
                  <c:v>4.8294000000000002E-5</c:v>
                </c:pt>
                <c:pt idx="55">
                  <c:v>4.7481000000000002E-5</c:v>
                </c:pt>
                <c:pt idx="56">
                  <c:v>4.6678999999999998E-5</c:v>
                </c:pt>
                <c:pt idx="57">
                  <c:v>4.5887999999999998E-5</c:v>
                </c:pt>
                <c:pt idx="58">
                  <c:v>4.5105999999999998E-5</c:v>
                </c:pt>
                <c:pt idx="59">
                  <c:v>4.4333999999999999E-5</c:v>
                </c:pt>
                <c:pt idx="60">
                  <c:v>4.3571E-5</c:v>
                </c:pt>
                <c:pt idx="61">
                  <c:v>4.2815999999999998E-5</c:v>
                </c:pt>
                <c:pt idx="62">
                  <c:v>4.2069E-5</c:v>
                </c:pt>
                <c:pt idx="63">
                  <c:v>4.1328999999999997E-5</c:v>
                </c:pt>
                <c:pt idx="64">
                  <c:v>4.0596000000000002E-5</c:v>
                </c:pt>
                <c:pt idx="65">
                  <c:v>3.9870000000000003E-5</c:v>
                </c:pt>
                <c:pt idx="66">
                  <c:v>3.9149000000000001E-5</c:v>
                </c:pt>
                <c:pt idx="67">
                  <c:v>3.8433000000000003E-5</c:v>
                </c:pt>
                <c:pt idx="68">
                  <c:v>3.7721E-5</c:v>
                </c:pt>
                <c:pt idx="69">
                  <c:v>3.7013E-5</c:v>
                </c:pt>
                <c:pt idx="70">
                  <c:v>3.6307000000000003E-5</c:v>
                </c:pt>
                <c:pt idx="71">
                  <c:v>3.5604E-5</c:v>
                </c:pt>
                <c:pt idx="72">
                  <c:v>3.4901999999999999E-5</c:v>
                </c:pt>
                <c:pt idx="73">
                  <c:v>3.4199999999999998E-5</c:v>
                </c:pt>
                <c:pt idx="74">
                  <c:v>3.3497000000000001E-5</c:v>
                </c:pt>
                <c:pt idx="75">
                  <c:v>3.2793000000000003E-5</c:v>
                </c:pt>
                <c:pt idx="76">
                  <c:v>3.2085999999999997E-5</c:v>
                </c:pt>
                <c:pt idx="77">
                  <c:v>3.1374000000000001E-5</c:v>
                </c:pt>
                <c:pt idx="78">
                  <c:v>3.0655999999999999E-5</c:v>
                </c:pt>
                <c:pt idx="79">
                  <c:v>2.9930999999999999E-5</c:v>
                </c:pt>
                <c:pt idx="80">
                  <c:v>2.9196E-5</c:v>
                </c:pt>
                <c:pt idx="81">
                  <c:v>2.8449000000000002E-5</c:v>
                </c:pt>
                <c:pt idx="82">
                  <c:v>2.7688E-5</c:v>
                </c:pt>
                <c:pt idx="83">
                  <c:v>2.6910000000000002E-5</c:v>
                </c:pt>
                <c:pt idx="84">
                  <c:v>2.6111000000000001E-5</c:v>
                </c:pt>
                <c:pt idx="85">
                  <c:v>2.5289000000000001E-5</c:v>
                </c:pt>
                <c:pt idx="86">
                  <c:v>2.4439000000000001E-5</c:v>
                </c:pt>
                <c:pt idx="87">
                  <c:v>2.3560000000000001E-5</c:v>
                </c:pt>
                <c:pt idx="88">
                  <c:v>2.2650000000000002E-5</c:v>
                </c:pt>
                <c:pt idx="89">
                  <c:v>2.1708999999999998E-5</c:v>
                </c:pt>
                <c:pt idx="90">
                  <c:v>2.0743000000000001E-5</c:v>
                </c:pt>
                <c:pt idx="91">
                  <c:v>1.9766999999999999E-5</c:v>
                </c:pt>
                <c:pt idx="92">
                  <c:v>1.8800999999999998E-5</c:v>
                </c:pt>
                <c:pt idx="93">
                  <c:v>1.7876E-5</c:v>
                </c:pt>
                <c:pt idx="94">
                  <c:v>1.7022999999999999E-5</c:v>
                </c:pt>
                <c:pt idx="95">
                  <c:v>1.6262000000000001E-5</c:v>
                </c:pt>
                <c:pt idx="96">
                  <c:v>1.5603999999999998E-5</c:v>
                </c:pt>
                <c:pt idx="97">
                  <c:v>1.5045000000000001E-5</c:v>
                </c:pt>
                <c:pt idx="98">
                  <c:v>1.4575E-5</c:v>
                </c:pt>
                <c:pt idx="99">
                  <c:v>1.4181E-5</c:v>
                </c:pt>
                <c:pt idx="100">
                  <c:v>1.3849000000000001E-5</c:v>
                </c:pt>
                <c:pt idx="101">
                  <c:v>1.3568E-5</c:v>
                </c:pt>
                <c:pt idx="102">
                  <c:v>1.3329000000000001E-5</c:v>
                </c:pt>
                <c:pt idx="103">
                  <c:v>1.3124E-5</c:v>
                </c:pt>
                <c:pt idx="104">
                  <c:v>1.2947E-5</c:v>
                </c:pt>
                <c:pt idx="105">
                  <c:v>1.2792999999999999E-5</c:v>
                </c:pt>
                <c:pt idx="106">
                  <c:v>1.2660000000000001E-5</c:v>
                </c:pt>
                <c:pt idx="107">
                  <c:v>1.2543E-5</c:v>
                </c:pt>
                <c:pt idx="108">
                  <c:v>1.2439999999999999E-5</c:v>
                </c:pt>
                <c:pt idx="109">
                  <c:v>1.2349E-5</c:v>
                </c:pt>
                <c:pt idx="110">
                  <c:v>1.2269000000000001E-5</c:v>
                </c:pt>
                <c:pt idx="111">
                  <c:v>1.2198000000000001E-5</c:v>
                </c:pt>
                <c:pt idx="112">
                  <c:v>1.2135E-5</c:v>
                </c:pt>
                <c:pt idx="113">
                  <c:v>1.2079000000000001E-5</c:v>
                </c:pt>
                <c:pt idx="114">
                  <c:v>1.2029E-5</c:v>
                </c:pt>
                <c:pt idx="115">
                  <c:v>1.1985E-5</c:v>
                </c:pt>
                <c:pt idx="116">
                  <c:v>1.1946E-5</c:v>
                </c:pt>
                <c:pt idx="117">
                  <c:v>1.1912E-5</c:v>
                </c:pt>
                <c:pt idx="118">
                  <c:v>1.1881E-5</c:v>
                </c:pt>
                <c:pt idx="119">
                  <c:v>1.1854E-5</c:v>
                </c:pt>
                <c:pt idx="120">
                  <c:v>1.1831000000000001E-5</c:v>
                </c:pt>
                <c:pt idx="121">
                  <c:v>1.181E-5</c:v>
                </c:pt>
                <c:pt idx="122">
                  <c:v>1.1793E-5</c:v>
                </c:pt>
                <c:pt idx="123">
                  <c:v>1.1776999999999999E-5</c:v>
                </c:pt>
                <c:pt idx="124">
                  <c:v>1.1765E-5</c:v>
                </c:pt>
                <c:pt idx="125">
                  <c:v>1.1754E-5</c:v>
                </c:pt>
                <c:pt idx="126">
                  <c:v>1.1745E-5</c:v>
                </c:pt>
                <c:pt idx="127">
                  <c:v>1.1738E-5</c:v>
                </c:pt>
                <c:pt idx="128">
                  <c:v>1.1732999999999999E-5</c:v>
                </c:pt>
                <c:pt idx="129">
                  <c:v>1.1729000000000001E-5</c:v>
                </c:pt>
                <c:pt idx="130">
                  <c:v>1.1727E-5</c:v>
                </c:pt>
                <c:pt idx="131">
                  <c:v>1.1725999999999999E-5</c:v>
                </c:pt>
                <c:pt idx="132">
                  <c:v>1.1727E-5</c:v>
                </c:pt>
                <c:pt idx="133">
                  <c:v>1.1729000000000001E-5</c:v>
                </c:pt>
                <c:pt idx="134">
                  <c:v>1.1731E-5</c:v>
                </c:pt>
                <c:pt idx="135">
                  <c:v>1.1735E-5</c:v>
                </c:pt>
                <c:pt idx="136">
                  <c:v>1.1739999999999999E-5</c:v>
                </c:pt>
                <c:pt idx="137">
                  <c:v>1.1746000000000001E-5</c:v>
                </c:pt>
                <c:pt idx="138">
                  <c:v>1.1753000000000001E-5</c:v>
                </c:pt>
                <c:pt idx="139">
                  <c:v>1.1759999999999999E-5</c:v>
                </c:pt>
                <c:pt idx="140">
                  <c:v>1.1769E-5</c:v>
                </c:pt>
                <c:pt idx="141">
                  <c:v>1.1778E-5</c:v>
                </c:pt>
                <c:pt idx="142">
                  <c:v>1.1787000000000001E-5</c:v>
                </c:pt>
                <c:pt idx="143">
                  <c:v>1.1798E-5</c:v>
                </c:pt>
                <c:pt idx="144">
                  <c:v>1.1809E-5</c:v>
                </c:pt>
                <c:pt idx="145">
                  <c:v>1.1821000000000001E-5</c:v>
                </c:pt>
                <c:pt idx="146">
                  <c:v>1.1833E-5</c:v>
                </c:pt>
                <c:pt idx="147">
                  <c:v>1.1846E-5</c:v>
                </c:pt>
                <c:pt idx="148">
                  <c:v>1.1858999999999999E-5</c:v>
                </c:pt>
                <c:pt idx="149">
                  <c:v>1.1873E-5</c:v>
                </c:pt>
                <c:pt idx="150">
                  <c:v>1.1887E-5</c:v>
                </c:pt>
                <c:pt idx="151">
                  <c:v>1.1902000000000001E-5</c:v>
                </c:pt>
                <c:pt idx="152">
                  <c:v>1.1917E-5</c:v>
                </c:pt>
                <c:pt idx="153">
                  <c:v>1.1932E-5</c:v>
                </c:pt>
                <c:pt idx="154">
                  <c:v>1.1948E-5</c:v>
                </c:pt>
                <c:pt idx="155">
                  <c:v>1.1965E-5</c:v>
                </c:pt>
                <c:pt idx="156">
                  <c:v>1.1980999999999999E-5</c:v>
                </c:pt>
                <c:pt idx="157">
                  <c:v>1.1997999999999999E-5</c:v>
                </c:pt>
                <c:pt idx="158">
                  <c:v>1.2016E-5</c:v>
                </c:pt>
                <c:pt idx="159">
                  <c:v>1.2033E-5</c:v>
                </c:pt>
                <c:pt idx="160">
                  <c:v>1.2051E-5</c:v>
                </c:pt>
                <c:pt idx="161">
                  <c:v>1.2069000000000001E-5</c:v>
                </c:pt>
                <c:pt idx="162">
                  <c:v>1.2088E-5</c:v>
                </c:pt>
                <c:pt idx="163">
                  <c:v>1.2106999999999999E-5</c:v>
                </c:pt>
                <c:pt idx="164">
                  <c:v>1.2126E-5</c:v>
                </c:pt>
                <c:pt idx="165">
                  <c:v>1.2145E-5</c:v>
                </c:pt>
                <c:pt idx="166">
                  <c:v>1.2165E-5</c:v>
                </c:pt>
                <c:pt idx="167">
                  <c:v>1.2184000000000001E-5</c:v>
                </c:pt>
                <c:pt idx="168">
                  <c:v>1.2204E-5</c:v>
                </c:pt>
                <c:pt idx="169">
                  <c:v>1.2225000000000001E-5</c:v>
                </c:pt>
                <c:pt idx="170">
                  <c:v>1.2245E-5</c:v>
                </c:pt>
                <c:pt idx="171">
                  <c:v>1.2266000000000001E-5</c:v>
                </c:pt>
              </c:numCache>
            </c:numRef>
          </c:val>
          <c:smooth val="0"/>
          <c:extLst>
            <c:ext xmlns:c16="http://schemas.microsoft.com/office/drawing/2014/chart" uri="{C3380CC4-5D6E-409C-BE32-E72D297353CC}">
              <c16:uniqueId val="{00000000-7461-433F-B88D-1F6ABE6A6056}"/>
            </c:ext>
          </c:extLst>
        </c:ser>
        <c:dLbls>
          <c:showLegendKey val="0"/>
          <c:showVal val="0"/>
          <c:showCatName val="0"/>
          <c:showSerName val="0"/>
          <c:showPercent val="0"/>
          <c:showBubbleSize val="0"/>
        </c:dLbls>
        <c:smooth val="0"/>
        <c:axId val="1934180895"/>
        <c:axId val="2122914527"/>
      </c:lineChart>
      <c:catAx>
        <c:axId val="19341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122914527"/>
        <c:crosses val="autoZero"/>
        <c:auto val="1"/>
        <c:lblAlgn val="ctr"/>
        <c:lblOffset val="100"/>
        <c:noMultiLvlLbl val="0"/>
      </c:catAx>
      <c:valAx>
        <c:axId val="212291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34180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4.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7.png"/><Relationship Id="rId1" Type="http://schemas.openxmlformats.org/officeDocument/2006/relationships/image" Target="../media/image4.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4</xdr:col>
      <xdr:colOff>19049</xdr:colOff>
      <xdr:row>3</xdr:row>
      <xdr:rowOff>19051</xdr:rowOff>
    </xdr:from>
    <xdr:to>
      <xdr:col>6</xdr:col>
      <xdr:colOff>657224</xdr:colOff>
      <xdr:row>18</xdr:row>
      <xdr:rowOff>123825</xdr:rowOff>
    </xdr:to>
    <xdr:pic>
      <xdr:nvPicPr>
        <xdr:cNvPr id="3" name="그림 2">
          <a:extLst>
            <a:ext uri="{FF2B5EF4-FFF2-40B4-BE49-F238E27FC236}">
              <a16:creationId xmlns:a16="http://schemas.microsoft.com/office/drawing/2014/main" id="{01DB06AB-365C-5188-CA56-0834F7D732ED}"/>
            </a:ext>
          </a:extLst>
        </xdr:cNvPr>
        <xdr:cNvPicPr>
          <a:picLocks noChangeAspect="1"/>
        </xdr:cNvPicPr>
      </xdr:nvPicPr>
      <xdr:blipFill>
        <a:blip xmlns:r="http://schemas.openxmlformats.org/officeDocument/2006/relationships" r:embed="rId1"/>
        <a:stretch>
          <a:fillRect/>
        </a:stretch>
      </xdr:blipFill>
      <xdr:spPr>
        <a:xfrm>
          <a:off x="2762249" y="647701"/>
          <a:ext cx="2009775" cy="3324224"/>
        </a:xfrm>
        <a:prstGeom prst="rect">
          <a:avLst/>
        </a:prstGeom>
      </xdr:spPr>
    </xdr:pic>
    <xdr:clientData/>
  </xdr:twoCellAnchor>
  <xdr:twoCellAnchor editAs="oneCell">
    <xdr:from>
      <xdr:col>10</xdr:col>
      <xdr:colOff>9524</xdr:colOff>
      <xdr:row>3</xdr:row>
      <xdr:rowOff>28575</xdr:rowOff>
    </xdr:from>
    <xdr:to>
      <xdr:col>12</xdr:col>
      <xdr:colOff>1162049</xdr:colOff>
      <xdr:row>18</xdr:row>
      <xdr:rowOff>95250</xdr:rowOff>
    </xdr:to>
    <xdr:pic>
      <xdr:nvPicPr>
        <xdr:cNvPr id="4" name="그림 3">
          <a:extLst>
            <a:ext uri="{FF2B5EF4-FFF2-40B4-BE49-F238E27FC236}">
              <a16:creationId xmlns:a16="http://schemas.microsoft.com/office/drawing/2014/main" id="{459CF050-3CDB-2256-DA85-7F075DF4F59C}"/>
            </a:ext>
          </a:extLst>
        </xdr:cNvPr>
        <xdr:cNvPicPr>
          <a:picLocks noChangeAspect="1"/>
        </xdr:cNvPicPr>
      </xdr:nvPicPr>
      <xdr:blipFill>
        <a:blip xmlns:r="http://schemas.openxmlformats.org/officeDocument/2006/relationships" r:embed="rId2"/>
        <a:stretch>
          <a:fillRect/>
        </a:stretch>
      </xdr:blipFill>
      <xdr:spPr>
        <a:xfrm>
          <a:off x="7296149" y="676275"/>
          <a:ext cx="2695575" cy="3286125"/>
        </a:xfrm>
        <a:prstGeom prst="rect">
          <a:avLst/>
        </a:prstGeom>
      </xdr:spPr>
    </xdr:pic>
    <xdr:clientData/>
  </xdr:twoCellAnchor>
  <xdr:twoCellAnchor editAs="oneCell">
    <xdr:from>
      <xdr:col>4</xdr:col>
      <xdr:colOff>19050</xdr:colOff>
      <xdr:row>20</xdr:row>
      <xdr:rowOff>38100</xdr:rowOff>
    </xdr:from>
    <xdr:to>
      <xdr:col>7</xdr:col>
      <xdr:colOff>666750</xdr:colOff>
      <xdr:row>29</xdr:row>
      <xdr:rowOff>200025</xdr:rowOff>
    </xdr:to>
    <xdr:pic>
      <xdr:nvPicPr>
        <xdr:cNvPr id="6" name="그림 5">
          <a:extLst>
            <a:ext uri="{FF2B5EF4-FFF2-40B4-BE49-F238E27FC236}">
              <a16:creationId xmlns:a16="http://schemas.microsoft.com/office/drawing/2014/main" id="{EA5DE456-5FB9-0A77-4814-FCA81A946419}"/>
            </a:ext>
          </a:extLst>
        </xdr:cNvPr>
        <xdr:cNvPicPr>
          <a:picLocks noChangeAspect="1"/>
        </xdr:cNvPicPr>
      </xdr:nvPicPr>
      <xdr:blipFill>
        <a:blip xmlns:r="http://schemas.openxmlformats.org/officeDocument/2006/relationships" r:embed="rId3"/>
        <a:stretch>
          <a:fillRect/>
        </a:stretch>
      </xdr:blipFill>
      <xdr:spPr>
        <a:xfrm>
          <a:off x="3190875" y="4267200"/>
          <a:ext cx="2705100" cy="2047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19048</xdr:colOff>
      <xdr:row>1</xdr:row>
      <xdr:rowOff>38100</xdr:rowOff>
    </xdr:from>
    <xdr:to>
      <xdr:col>6</xdr:col>
      <xdr:colOff>639535</xdr:colOff>
      <xdr:row>19</xdr:row>
      <xdr:rowOff>161824</xdr:rowOff>
    </xdr:to>
    <xdr:pic>
      <xdr:nvPicPr>
        <xdr:cNvPr id="2" name="그림 1">
          <a:extLst>
            <a:ext uri="{FF2B5EF4-FFF2-40B4-BE49-F238E27FC236}">
              <a16:creationId xmlns:a16="http://schemas.microsoft.com/office/drawing/2014/main" id="{FB8247C5-FFCE-4D32-9560-E3E519D48829}"/>
            </a:ext>
          </a:extLst>
        </xdr:cNvPr>
        <xdr:cNvPicPr>
          <a:picLocks noChangeAspect="1"/>
        </xdr:cNvPicPr>
      </xdr:nvPicPr>
      <xdr:blipFill rotWithShape="1">
        <a:blip xmlns:r="http://schemas.openxmlformats.org/officeDocument/2006/relationships" r:embed="rId1"/>
        <a:srcRect r="2359"/>
        <a:stretch/>
      </xdr:blipFill>
      <xdr:spPr>
        <a:xfrm>
          <a:off x="4019548" y="242207"/>
          <a:ext cx="1981201" cy="3988153"/>
        </a:xfrm>
        <a:prstGeom prst="rect">
          <a:avLst/>
        </a:prstGeom>
      </xdr:spPr>
    </xdr:pic>
    <xdr:clientData/>
  </xdr:twoCellAnchor>
  <xdr:twoCellAnchor>
    <xdr:from>
      <xdr:col>3</xdr:col>
      <xdr:colOff>556931</xdr:colOff>
      <xdr:row>19</xdr:row>
      <xdr:rowOff>192181</xdr:rowOff>
    </xdr:from>
    <xdr:to>
      <xdr:col>7</xdr:col>
      <xdr:colOff>1042146</xdr:colOff>
      <xdr:row>31</xdr:row>
      <xdr:rowOff>135031</xdr:rowOff>
    </xdr:to>
    <xdr:graphicFrame macro="">
      <xdr:nvGraphicFramePr>
        <xdr:cNvPr id="3" name="차트 2">
          <a:extLst>
            <a:ext uri="{FF2B5EF4-FFF2-40B4-BE49-F238E27FC236}">
              <a16:creationId xmlns:a16="http://schemas.microsoft.com/office/drawing/2014/main" id="{535A8212-4DBE-1E42-3BFF-E6D807C51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33618</xdr:colOff>
      <xdr:row>15</xdr:row>
      <xdr:rowOff>40342</xdr:rowOff>
    </xdr:from>
    <xdr:to>
      <xdr:col>14</xdr:col>
      <xdr:colOff>67235</xdr:colOff>
      <xdr:row>18</xdr:row>
      <xdr:rowOff>8964</xdr:rowOff>
    </xdr:to>
    <xdr:pic>
      <xdr:nvPicPr>
        <xdr:cNvPr id="4" name="그림 3">
          <a:extLst>
            <a:ext uri="{FF2B5EF4-FFF2-40B4-BE49-F238E27FC236}">
              <a16:creationId xmlns:a16="http://schemas.microsoft.com/office/drawing/2014/main" id="{1B971AC4-A628-5C78-057A-D2B8E1017E49}"/>
            </a:ext>
          </a:extLst>
        </xdr:cNvPr>
        <xdr:cNvPicPr>
          <a:picLocks noChangeAspect="1"/>
        </xdr:cNvPicPr>
      </xdr:nvPicPr>
      <xdr:blipFill>
        <a:blip xmlns:r="http://schemas.openxmlformats.org/officeDocument/2006/relationships" r:embed="rId3"/>
        <a:stretch>
          <a:fillRect/>
        </a:stretch>
      </xdr:blipFill>
      <xdr:spPr>
        <a:xfrm>
          <a:off x="13077265" y="3464860"/>
          <a:ext cx="2346511" cy="667869"/>
        </a:xfrm>
        <a:prstGeom prst="rect">
          <a:avLst/>
        </a:prstGeom>
      </xdr:spPr>
    </xdr:pic>
    <xdr:clientData/>
  </xdr:twoCellAnchor>
  <xdr:twoCellAnchor editAs="oneCell">
    <xdr:from>
      <xdr:col>11</xdr:col>
      <xdr:colOff>1</xdr:colOff>
      <xdr:row>9</xdr:row>
      <xdr:rowOff>67235</xdr:rowOff>
    </xdr:from>
    <xdr:to>
      <xdr:col>11</xdr:col>
      <xdr:colOff>1959750</xdr:colOff>
      <xdr:row>11</xdr:row>
      <xdr:rowOff>203568</xdr:rowOff>
    </xdr:to>
    <xdr:pic>
      <xdr:nvPicPr>
        <xdr:cNvPr id="5" name="그림 4">
          <a:extLst>
            <a:ext uri="{FF2B5EF4-FFF2-40B4-BE49-F238E27FC236}">
              <a16:creationId xmlns:a16="http://schemas.microsoft.com/office/drawing/2014/main" id="{1FD0AC19-190E-E8FA-D5E8-C919A2123384}"/>
            </a:ext>
          </a:extLst>
        </xdr:cNvPr>
        <xdr:cNvPicPr>
          <a:picLocks noChangeAspect="1"/>
        </xdr:cNvPicPr>
      </xdr:nvPicPr>
      <xdr:blipFill>
        <a:blip xmlns:r="http://schemas.openxmlformats.org/officeDocument/2006/relationships" r:embed="rId4"/>
        <a:stretch>
          <a:fillRect/>
        </a:stretch>
      </xdr:blipFill>
      <xdr:spPr>
        <a:xfrm>
          <a:off x="10936942" y="2061882"/>
          <a:ext cx="1949824" cy="5621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28575</xdr:colOff>
      <xdr:row>3</xdr:row>
      <xdr:rowOff>114300</xdr:rowOff>
    </xdr:from>
    <xdr:to>
      <xdr:col>6</xdr:col>
      <xdr:colOff>1322453</xdr:colOff>
      <xdr:row>18</xdr:row>
      <xdr:rowOff>142875</xdr:rowOff>
    </xdr:to>
    <xdr:pic>
      <xdr:nvPicPr>
        <xdr:cNvPr id="2" name="그림 1">
          <a:extLst>
            <a:ext uri="{FF2B5EF4-FFF2-40B4-BE49-F238E27FC236}">
              <a16:creationId xmlns:a16="http://schemas.microsoft.com/office/drawing/2014/main" id="{BEE6F58D-0384-4339-8ED5-F592889D8ACC}"/>
            </a:ext>
          </a:extLst>
        </xdr:cNvPr>
        <xdr:cNvPicPr>
          <a:picLocks noChangeAspect="1"/>
        </xdr:cNvPicPr>
      </xdr:nvPicPr>
      <xdr:blipFill rotWithShape="1">
        <a:blip xmlns:r="http://schemas.openxmlformats.org/officeDocument/2006/relationships" r:embed="rId1"/>
        <a:srcRect r="2359"/>
        <a:stretch/>
      </xdr:blipFill>
      <xdr:spPr>
        <a:xfrm>
          <a:off x="4076700" y="742950"/>
          <a:ext cx="1979678" cy="3248025"/>
        </a:xfrm>
        <a:prstGeom prst="rect">
          <a:avLst/>
        </a:prstGeom>
      </xdr:spPr>
    </xdr:pic>
    <xdr:clientData/>
  </xdr:twoCellAnchor>
  <xdr:twoCellAnchor editAs="oneCell">
    <xdr:from>
      <xdr:col>4</xdr:col>
      <xdr:colOff>14969</xdr:colOff>
      <xdr:row>25</xdr:row>
      <xdr:rowOff>137432</xdr:rowOff>
    </xdr:from>
    <xdr:to>
      <xdr:col>6</xdr:col>
      <xdr:colOff>1034144</xdr:colOff>
      <xdr:row>27</xdr:row>
      <xdr:rowOff>175532</xdr:rowOff>
    </xdr:to>
    <xdr:pic>
      <xdr:nvPicPr>
        <xdr:cNvPr id="3" name="그림 2">
          <a:extLst>
            <a:ext uri="{FF2B5EF4-FFF2-40B4-BE49-F238E27FC236}">
              <a16:creationId xmlns:a16="http://schemas.microsoft.com/office/drawing/2014/main" id="{108F79D7-AABF-21B1-C966-3021155C29E8}"/>
            </a:ext>
          </a:extLst>
        </xdr:cNvPr>
        <xdr:cNvPicPr>
          <a:picLocks noChangeAspect="1"/>
        </xdr:cNvPicPr>
      </xdr:nvPicPr>
      <xdr:blipFill>
        <a:blip xmlns:r="http://schemas.openxmlformats.org/officeDocument/2006/relationships" r:embed="rId2"/>
        <a:stretch>
          <a:fillRect/>
        </a:stretch>
      </xdr:blipFill>
      <xdr:spPr>
        <a:xfrm>
          <a:off x="3525612" y="5348968"/>
          <a:ext cx="3590925" cy="446314"/>
        </a:xfrm>
        <a:prstGeom prst="rect">
          <a:avLst/>
        </a:prstGeom>
      </xdr:spPr>
    </xdr:pic>
    <xdr:clientData/>
  </xdr:twoCellAnchor>
  <xdr:twoCellAnchor>
    <xdr:from>
      <xdr:col>0</xdr:col>
      <xdr:colOff>114300</xdr:colOff>
      <xdr:row>3</xdr:row>
      <xdr:rowOff>209550</xdr:rowOff>
    </xdr:from>
    <xdr:to>
      <xdr:col>3</xdr:col>
      <xdr:colOff>544286</xdr:colOff>
      <xdr:row>24</xdr:row>
      <xdr:rowOff>40821</xdr:rowOff>
    </xdr:to>
    <xdr:graphicFrame macro="">
      <xdr:nvGraphicFramePr>
        <xdr:cNvPr id="4" name="차트 3">
          <a:extLst>
            <a:ext uri="{FF2B5EF4-FFF2-40B4-BE49-F238E27FC236}">
              <a16:creationId xmlns:a16="http://schemas.microsoft.com/office/drawing/2014/main" id="{1C68B5FF-D325-E760-F02A-F70205662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28575</xdr:colOff>
      <xdr:row>34</xdr:row>
      <xdr:rowOff>114300</xdr:rowOff>
    </xdr:from>
    <xdr:ext cx="1974235" cy="3199040"/>
    <xdr:pic>
      <xdr:nvPicPr>
        <xdr:cNvPr id="5" name="그림 4">
          <a:extLst>
            <a:ext uri="{FF2B5EF4-FFF2-40B4-BE49-F238E27FC236}">
              <a16:creationId xmlns:a16="http://schemas.microsoft.com/office/drawing/2014/main" id="{25F8F4C5-B026-49C6-A3DD-7298F70D86EA}"/>
            </a:ext>
          </a:extLst>
        </xdr:cNvPr>
        <xdr:cNvPicPr>
          <a:picLocks noChangeAspect="1"/>
        </xdr:cNvPicPr>
      </xdr:nvPicPr>
      <xdr:blipFill rotWithShape="1">
        <a:blip xmlns:r="http://schemas.openxmlformats.org/officeDocument/2006/relationships" r:embed="rId1"/>
        <a:srcRect r="2359"/>
        <a:stretch/>
      </xdr:blipFill>
      <xdr:spPr>
        <a:xfrm>
          <a:off x="5430611" y="726621"/>
          <a:ext cx="1974235" cy="3199040"/>
        </a:xfrm>
        <a:prstGeom prst="rect">
          <a:avLst/>
        </a:prstGeom>
      </xdr:spPr>
    </xdr:pic>
    <xdr:clientData/>
  </xdr:oneCellAnchor>
  <xdr:oneCellAnchor>
    <xdr:from>
      <xdr:col>4</xdr:col>
      <xdr:colOff>28576</xdr:colOff>
      <xdr:row>56</xdr:row>
      <xdr:rowOff>123825</xdr:rowOff>
    </xdr:from>
    <xdr:ext cx="3590925" cy="446314"/>
    <xdr:pic>
      <xdr:nvPicPr>
        <xdr:cNvPr id="6" name="그림 5">
          <a:extLst>
            <a:ext uri="{FF2B5EF4-FFF2-40B4-BE49-F238E27FC236}">
              <a16:creationId xmlns:a16="http://schemas.microsoft.com/office/drawing/2014/main" id="{2BCCCB57-66BF-4DA2-89FB-DD26267FAD75}"/>
            </a:ext>
          </a:extLst>
        </xdr:cNvPr>
        <xdr:cNvPicPr>
          <a:picLocks noChangeAspect="1"/>
        </xdr:cNvPicPr>
      </xdr:nvPicPr>
      <xdr:blipFill>
        <a:blip xmlns:r="http://schemas.openxmlformats.org/officeDocument/2006/relationships" r:embed="rId2"/>
        <a:stretch>
          <a:fillRect/>
        </a:stretch>
      </xdr:blipFill>
      <xdr:spPr>
        <a:xfrm>
          <a:off x="3539219" y="5335361"/>
          <a:ext cx="3590925" cy="446314"/>
        </a:xfrm>
        <a:prstGeom prst="rect">
          <a:avLst/>
        </a:prstGeom>
      </xdr:spPr>
    </xdr:pic>
    <xdr:clientData/>
  </xdr:oneCellAnchor>
  <xdr:twoCellAnchor>
    <xdr:from>
      <xdr:col>0</xdr:col>
      <xdr:colOff>81642</xdr:colOff>
      <xdr:row>35</xdr:row>
      <xdr:rowOff>1</xdr:rowOff>
    </xdr:from>
    <xdr:to>
      <xdr:col>3</xdr:col>
      <xdr:colOff>538842</xdr:colOff>
      <xdr:row>53</xdr:row>
      <xdr:rowOff>122465</xdr:rowOff>
    </xdr:to>
    <xdr:graphicFrame macro="">
      <xdr:nvGraphicFramePr>
        <xdr:cNvPr id="7" name="차트 6">
          <a:extLst>
            <a:ext uri="{FF2B5EF4-FFF2-40B4-BE49-F238E27FC236}">
              <a16:creationId xmlns:a16="http://schemas.microsoft.com/office/drawing/2014/main" id="{8C0EE615-21F1-4F7A-87ED-B1DAB24EA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12</xdr:col>
      <xdr:colOff>28575</xdr:colOff>
      <xdr:row>3</xdr:row>
      <xdr:rowOff>114300</xdr:rowOff>
    </xdr:from>
    <xdr:ext cx="1974235" cy="3199040"/>
    <xdr:pic>
      <xdr:nvPicPr>
        <xdr:cNvPr id="8" name="그림 7">
          <a:extLst>
            <a:ext uri="{FF2B5EF4-FFF2-40B4-BE49-F238E27FC236}">
              <a16:creationId xmlns:a16="http://schemas.microsoft.com/office/drawing/2014/main" id="{C41C38C8-E276-4551-9059-A47EB16447E9}"/>
            </a:ext>
          </a:extLst>
        </xdr:cNvPr>
        <xdr:cNvPicPr>
          <a:picLocks noChangeAspect="1"/>
        </xdr:cNvPicPr>
      </xdr:nvPicPr>
      <xdr:blipFill rotWithShape="1">
        <a:blip xmlns:r="http://schemas.openxmlformats.org/officeDocument/2006/relationships" r:embed="rId1"/>
        <a:srcRect r="2359"/>
        <a:stretch/>
      </xdr:blipFill>
      <xdr:spPr>
        <a:xfrm>
          <a:off x="5430611" y="7162800"/>
          <a:ext cx="1974235" cy="3199040"/>
        </a:xfrm>
        <a:prstGeom prst="rect">
          <a:avLst/>
        </a:prstGeom>
      </xdr:spPr>
    </xdr:pic>
    <xdr:clientData/>
  </xdr:oneCellAnchor>
  <xdr:oneCellAnchor>
    <xdr:from>
      <xdr:col>11</xdr:col>
      <xdr:colOff>151040</xdr:colOff>
      <xdr:row>25</xdr:row>
      <xdr:rowOff>164646</xdr:rowOff>
    </xdr:from>
    <xdr:ext cx="3590925" cy="446314"/>
    <xdr:pic>
      <xdr:nvPicPr>
        <xdr:cNvPr id="9" name="그림 8">
          <a:extLst>
            <a:ext uri="{FF2B5EF4-FFF2-40B4-BE49-F238E27FC236}">
              <a16:creationId xmlns:a16="http://schemas.microsoft.com/office/drawing/2014/main" id="{F207265F-2DAD-447C-B190-8988490C243A}"/>
            </a:ext>
          </a:extLst>
        </xdr:cNvPr>
        <xdr:cNvPicPr>
          <a:picLocks noChangeAspect="1"/>
        </xdr:cNvPicPr>
      </xdr:nvPicPr>
      <xdr:blipFill>
        <a:blip xmlns:r="http://schemas.openxmlformats.org/officeDocument/2006/relationships" r:embed="rId2"/>
        <a:stretch>
          <a:fillRect/>
        </a:stretch>
      </xdr:blipFill>
      <xdr:spPr>
        <a:xfrm>
          <a:off x="15091683" y="5376182"/>
          <a:ext cx="3590925" cy="446314"/>
        </a:xfrm>
        <a:prstGeom prst="rect">
          <a:avLst/>
        </a:prstGeom>
      </xdr:spPr>
    </xdr:pic>
    <xdr:clientData/>
  </xdr:oneCellAnchor>
  <xdr:twoCellAnchor>
    <xdr:from>
      <xdr:col>15</xdr:col>
      <xdr:colOff>27215</xdr:colOff>
      <xdr:row>3</xdr:row>
      <xdr:rowOff>204107</xdr:rowOff>
    </xdr:from>
    <xdr:to>
      <xdr:col>20</xdr:col>
      <xdr:colOff>76200</xdr:colOff>
      <xdr:row>22</xdr:row>
      <xdr:rowOff>122463</xdr:rowOff>
    </xdr:to>
    <xdr:graphicFrame macro="">
      <xdr:nvGraphicFramePr>
        <xdr:cNvPr id="10" name="차트 9">
          <a:extLst>
            <a:ext uri="{FF2B5EF4-FFF2-40B4-BE49-F238E27FC236}">
              <a16:creationId xmlns:a16="http://schemas.microsoft.com/office/drawing/2014/main" id="{AA92876B-7C44-4E7D-BC9B-7FCF91372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12</xdr:col>
      <xdr:colOff>36739</xdr:colOff>
      <xdr:row>34</xdr:row>
      <xdr:rowOff>149679</xdr:rowOff>
    </xdr:from>
    <xdr:ext cx="1974235" cy="3199040"/>
    <xdr:pic>
      <xdr:nvPicPr>
        <xdr:cNvPr id="11" name="그림 10">
          <a:extLst>
            <a:ext uri="{FF2B5EF4-FFF2-40B4-BE49-F238E27FC236}">
              <a16:creationId xmlns:a16="http://schemas.microsoft.com/office/drawing/2014/main" id="{045E2792-781A-453C-BE6A-2391EBBB41EF}"/>
            </a:ext>
          </a:extLst>
        </xdr:cNvPr>
        <xdr:cNvPicPr>
          <a:picLocks noChangeAspect="1"/>
        </xdr:cNvPicPr>
      </xdr:nvPicPr>
      <xdr:blipFill rotWithShape="1">
        <a:blip xmlns:r="http://schemas.openxmlformats.org/officeDocument/2006/relationships" r:embed="rId1"/>
        <a:srcRect r="2359"/>
        <a:stretch/>
      </xdr:blipFill>
      <xdr:spPr>
        <a:xfrm>
          <a:off x="15886339" y="7617279"/>
          <a:ext cx="1974235" cy="3199040"/>
        </a:xfrm>
        <a:prstGeom prst="rect">
          <a:avLst/>
        </a:prstGeom>
      </xdr:spPr>
    </xdr:pic>
    <xdr:clientData/>
  </xdr:oneCellAnchor>
  <xdr:twoCellAnchor>
    <xdr:from>
      <xdr:col>15</xdr:col>
      <xdr:colOff>13606</xdr:colOff>
      <xdr:row>34</xdr:row>
      <xdr:rowOff>176892</xdr:rowOff>
    </xdr:from>
    <xdr:to>
      <xdr:col>20</xdr:col>
      <xdr:colOff>293913</xdr:colOff>
      <xdr:row>53</xdr:row>
      <xdr:rowOff>13606</xdr:rowOff>
    </xdr:to>
    <xdr:graphicFrame macro="">
      <xdr:nvGraphicFramePr>
        <xdr:cNvPr id="14" name="차트 13">
          <a:extLst>
            <a:ext uri="{FF2B5EF4-FFF2-40B4-BE49-F238E27FC236}">
              <a16:creationId xmlns:a16="http://schemas.microsoft.com/office/drawing/2014/main" id="{D97E384A-E9FF-41BA-8749-0C9303666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16587</xdr:colOff>
      <xdr:row>8</xdr:row>
      <xdr:rowOff>208790</xdr:rowOff>
    </xdr:from>
    <xdr:to>
      <xdr:col>10</xdr:col>
      <xdr:colOff>1088571</xdr:colOff>
      <xdr:row>21</xdr:row>
      <xdr:rowOff>126907</xdr:rowOff>
    </xdr:to>
    <xdr:graphicFrame macro="">
      <xdr:nvGraphicFramePr>
        <xdr:cNvPr id="15" name="차트 14">
          <a:extLst>
            <a:ext uri="{FF2B5EF4-FFF2-40B4-BE49-F238E27FC236}">
              <a16:creationId xmlns:a16="http://schemas.microsoft.com/office/drawing/2014/main" id="{E203C445-0676-2AA4-5283-A88F7AC28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470478</xdr:colOff>
      <xdr:row>1</xdr:row>
      <xdr:rowOff>87514</xdr:rowOff>
    </xdr:from>
    <xdr:to>
      <xdr:col>24</xdr:col>
      <xdr:colOff>80818</xdr:colOff>
      <xdr:row>29</xdr:row>
      <xdr:rowOff>161637</xdr:rowOff>
    </xdr:to>
    <xdr:graphicFrame macro="">
      <xdr:nvGraphicFramePr>
        <xdr:cNvPr id="2" name="차트 1">
          <a:extLst>
            <a:ext uri="{FF2B5EF4-FFF2-40B4-BE49-F238E27FC236}">
              <a16:creationId xmlns:a16="http://schemas.microsoft.com/office/drawing/2014/main" id="{2158C659-89E9-2158-395A-BA724A35A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587375</xdr:colOff>
      <xdr:row>14</xdr:row>
      <xdr:rowOff>146685</xdr:rowOff>
    </xdr:from>
    <xdr:to>
      <xdr:col>12</xdr:col>
      <xdr:colOff>358775</xdr:colOff>
      <xdr:row>27</xdr:row>
      <xdr:rowOff>165735</xdr:rowOff>
    </xdr:to>
    <xdr:graphicFrame macro="">
      <xdr:nvGraphicFramePr>
        <xdr:cNvPr id="2" name="차트 1">
          <a:extLst>
            <a:ext uri="{FF2B5EF4-FFF2-40B4-BE49-F238E27FC236}">
              <a16:creationId xmlns:a16="http://schemas.microsoft.com/office/drawing/2014/main" id="{9EB695BB-BF91-4228-428A-5258D522C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116840</xdr:colOff>
      <xdr:row>1</xdr:row>
      <xdr:rowOff>27305</xdr:rowOff>
    </xdr:from>
    <xdr:to>
      <xdr:col>15</xdr:col>
      <xdr:colOff>579120</xdr:colOff>
      <xdr:row>14</xdr:row>
      <xdr:rowOff>46355</xdr:rowOff>
    </xdr:to>
    <xdr:graphicFrame macro="">
      <xdr:nvGraphicFramePr>
        <xdr:cNvPr id="3" name="차트 2">
          <a:extLst>
            <a:ext uri="{FF2B5EF4-FFF2-40B4-BE49-F238E27FC236}">
              <a16:creationId xmlns:a16="http://schemas.microsoft.com/office/drawing/2014/main" id="{B3465325-4C17-414B-A35A-06EAAD642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2540</xdr:colOff>
      <xdr:row>14</xdr:row>
      <xdr:rowOff>163195</xdr:rowOff>
    </xdr:from>
    <xdr:to>
      <xdr:col>19</xdr:col>
      <xdr:colOff>444500</xdr:colOff>
      <xdr:row>27</xdr:row>
      <xdr:rowOff>182245</xdr:rowOff>
    </xdr:to>
    <xdr:graphicFrame macro="">
      <xdr:nvGraphicFramePr>
        <xdr:cNvPr id="4" name="차트 3">
          <a:extLst>
            <a:ext uri="{FF2B5EF4-FFF2-40B4-BE49-F238E27FC236}">
              <a16:creationId xmlns:a16="http://schemas.microsoft.com/office/drawing/2014/main" id="{11E9CE45-EDBD-43D9-89CE-794868AF0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이진영" id="{EDB2C75A-EF3E-47E3-94E0-512E174F06DE}" userId="이진영" providerId="Non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 dT="2022-11-26T13:21:58.06" personId="{EDB2C75A-EF3E-47E3-94E0-512E174F06DE}" id="{C94CAFD3-8EE3-4DB0-BDA0-E123DCA39CC6}">
    <text>QL=m*(i2-i1), m=QL/(I2-I1)</text>
  </threadedComment>
  <threadedComment ref="I14" dT="2022-11-26T12:47:31.44" personId="{EDB2C75A-EF3E-47E3-94E0-512E174F06DE}" id="{57FC2A63-61A7-45C1-B3B2-58F6C7B11F9D}">
    <text>-3도와 12~7도(냉각수) 사이의 대수평균 온도차</text>
  </threadedComment>
</ThreadedComments>
</file>

<file path=xl/threadedComments/threadedComment2.xml><?xml version="1.0" encoding="utf-8"?>
<ThreadedComments xmlns="http://schemas.microsoft.com/office/spreadsheetml/2018/threadedcomments" xmlns:x="http://schemas.openxmlformats.org/spreadsheetml/2006/main">
  <threadedComment ref="L13" dT="2022-11-21T17:20:39.53" personId="{EDB2C75A-EF3E-47E3-94E0-512E174F06DE}" id="{BB83EB54-FD1C-449E-A6AC-CEF51CFC16C1}">
    <text>강의록7, 5페이지
열시스템 디자인 - 식6.48</text>
  </threadedComment>
  <threadedComment ref="N13" dT="2022-11-21T15:54:39.73" personId="{EDB2C75A-EF3E-47E3-94E0-512E174F06DE}" id="{19C03E80-3B91-4B1F-BD89-67E5FD8E5E0D}">
    <text>열시스템디자인-식 6.48
Petukhov-Kirillov</text>
  </threadedComment>
  <threadedComment ref="P13" dT="2022-11-21T15:54:00.20" personId="{EDB2C75A-EF3E-47E3-94E0-512E174F06DE}" id="{292CC965-B81C-4525-96A9-1E86EE6EB1CC}">
    <text>튜브를 통과하는 액체는 0.5~3.0을 권장함. 
본 프로젝트의 제한 조건은 3.0 미만</text>
  </threadedComment>
  <threadedComment ref="N15" dT="2022-11-25T04:01:11.62" personId="{EDB2C75A-EF3E-47E3-94E0-512E174F06DE}" id="{094B454D-75CE-4D39-A878-AA1E2284DFDD}">
    <text>10KM 배관에서의 마찰계수</text>
  </threadedComment>
</ThreadedComments>
</file>

<file path=xl/threadedComments/threadedComment3.xml><?xml version="1.0" encoding="utf-8"?>
<ThreadedComments xmlns="http://schemas.microsoft.com/office/spreadsheetml/2018/threadedcomments" xmlns:x="http://schemas.openxmlformats.org/spreadsheetml/2006/main">
  <threadedComment ref="I2" dT="2022-11-25T02:14:54.55" personId="{EDB2C75A-EF3E-47E3-94E0-512E174F06DE}" id="{E0DB1399-9E4F-498F-85D2-C11A28145908}">
    <text>Pt는 관 중심 사이의 간격</text>
  </threadedComment>
  <threadedComment ref="J2" dT="2022-11-22T06:06:13.62" personId="{EDB2C75A-EF3E-47E3-94E0-512E174F06DE}" id="{66625640-F2D1-4820-A5C1-85AAF5857A30}">
    <text>임의로 설정.
TEMA 규격 확인 후 수정할 것</text>
  </threadedComment>
  <threadedComment ref="K2" dT="2022-11-22T06:04:31.53" personId="{EDB2C75A-EF3E-47E3-94E0-512E174F06DE}" id="{47545DE3-2E07-49C0-B4D7-0BC40056F849}">
    <text>TEMA 규격</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756E0-D990-44D3-B16C-18E2787EDBDD}">
  <dimension ref="B3:U16"/>
  <sheetViews>
    <sheetView workbookViewId="0">
      <selection activeCell="N20" sqref="N20"/>
    </sheetView>
  </sheetViews>
  <sheetFormatPr defaultRowHeight="16.5" x14ac:dyDescent="0.3"/>
  <cols>
    <col min="21" max="21" width="8.75" customWidth="1"/>
  </cols>
  <sheetData>
    <row r="3" spans="2:21" x14ac:dyDescent="0.3">
      <c r="B3" s="32" t="s">
        <v>109</v>
      </c>
      <c r="C3" s="33"/>
      <c r="D3" s="33"/>
      <c r="E3" s="33"/>
      <c r="F3" s="33"/>
      <c r="G3" s="33"/>
      <c r="H3" s="33"/>
    </row>
    <row r="4" spans="2:21" x14ac:dyDescent="0.3">
      <c r="B4" s="33"/>
      <c r="C4" s="33"/>
      <c r="D4" s="33"/>
      <c r="E4" s="33"/>
      <c r="F4" s="33"/>
      <c r="G4" s="33"/>
      <c r="H4" s="33"/>
    </row>
    <row r="5" spans="2:21" x14ac:dyDescent="0.3">
      <c r="B5" s="33"/>
      <c r="C5" s="33"/>
      <c r="D5" s="33"/>
      <c r="E5" s="33"/>
      <c r="F5" s="33"/>
      <c r="G5" s="33"/>
      <c r="H5" s="33"/>
    </row>
    <row r="6" spans="2:21" x14ac:dyDescent="0.3">
      <c r="B6" s="33"/>
      <c r="C6" s="33"/>
      <c r="D6" s="33"/>
      <c r="E6" s="33"/>
      <c r="F6" s="33"/>
      <c r="G6" s="33"/>
      <c r="H6" s="33"/>
    </row>
    <row r="7" spans="2:21" x14ac:dyDescent="0.3">
      <c r="B7" s="33"/>
      <c r="C7" s="33"/>
      <c r="D7" s="33"/>
      <c r="E7" s="33"/>
      <c r="F7" s="33"/>
      <c r="G7" s="33"/>
      <c r="H7" s="33"/>
    </row>
    <row r="8" spans="2:21" x14ac:dyDescent="0.3">
      <c r="B8" s="33"/>
      <c r="C8" s="33"/>
      <c r="D8" s="33"/>
      <c r="E8" s="33"/>
      <c r="F8" s="33"/>
      <c r="G8" s="33"/>
      <c r="H8" s="33"/>
    </row>
    <row r="9" spans="2:21" x14ac:dyDescent="0.3">
      <c r="B9" s="33"/>
      <c r="C9" s="33"/>
      <c r="D9" s="33"/>
      <c r="E9" s="33"/>
      <c r="F9" s="33"/>
      <c r="G9" s="33"/>
      <c r="H9" s="33"/>
    </row>
    <row r="10" spans="2:21" x14ac:dyDescent="0.3">
      <c r="B10" s="33"/>
      <c r="C10" s="33"/>
      <c r="D10" s="33"/>
      <c r="E10" s="33"/>
      <c r="F10" s="33"/>
      <c r="G10" s="33"/>
      <c r="H10" s="33"/>
      <c r="J10" s="32" t="s">
        <v>114</v>
      </c>
      <c r="K10" s="32"/>
      <c r="L10" s="32"/>
      <c r="M10" s="32"/>
      <c r="N10" s="32"/>
      <c r="O10" s="32"/>
      <c r="P10" s="32"/>
      <c r="Q10" s="32"/>
      <c r="R10" s="32"/>
      <c r="S10" s="32"/>
      <c r="T10" s="32"/>
      <c r="U10" s="32"/>
    </row>
    <row r="11" spans="2:21" x14ac:dyDescent="0.3">
      <c r="B11" s="33"/>
      <c r="C11" s="33"/>
      <c r="D11" s="33"/>
      <c r="E11" s="33"/>
      <c r="F11" s="33"/>
      <c r="G11" s="33"/>
      <c r="H11" s="33"/>
      <c r="J11" s="32"/>
      <c r="K11" s="32"/>
      <c r="L11" s="32"/>
      <c r="M11" s="32"/>
      <c r="N11" s="32"/>
      <c r="O11" s="32"/>
      <c r="P11" s="32"/>
      <c r="Q11" s="32"/>
      <c r="R11" s="32"/>
      <c r="S11" s="32"/>
      <c r="T11" s="32"/>
      <c r="U11" s="32"/>
    </row>
    <row r="12" spans="2:21" x14ac:dyDescent="0.3">
      <c r="B12" s="33"/>
      <c r="C12" s="33"/>
      <c r="D12" s="33"/>
      <c r="E12" s="33"/>
      <c r="F12" s="33"/>
      <c r="G12" s="33"/>
      <c r="H12" s="33"/>
      <c r="J12" s="32"/>
      <c r="K12" s="32"/>
      <c r="L12" s="32"/>
      <c r="M12" s="32"/>
      <c r="N12" s="32"/>
      <c r="O12" s="32"/>
      <c r="P12" s="32"/>
      <c r="Q12" s="32"/>
      <c r="R12" s="32"/>
      <c r="S12" s="32"/>
      <c r="T12" s="32"/>
      <c r="U12" s="32"/>
    </row>
    <row r="13" spans="2:21" x14ac:dyDescent="0.3">
      <c r="B13" s="33"/>
      <c r="C13" s="33"/>
      <c r="D13" s="33"/>
      <c r="E13" s="33"/>
      <c r="F13" s="33"/>
      <c r="G13" s="33"/>
      <c r="H13" s="33"/>
      <c r="J13" s="32"/>
      <c r="K13" s="32"/>
      <c r="L13" s="32"/>
      <c r="M13" s="32"/>
      <c r="N13" s="32"/>
      <c r="O13" s="32"/>
      <c r="P13" s="32"/>
      <c r="Q13" s="32"/>
      <c r="R13" s="32"/>
      <c r="S13" s="32"/>
      <c r="T13" s="32"/>
      <c r="U13" s="32"/>
    </row>
    <row r="14" spans="2:21" x14ac:dyDescent="0.3">
      <c r="B14" s="33"/>
      <c r="C14" s="33"/>
      <c r="D14" s="33"/>
      <c r="E14" s="33"/>
      <c r="F14" s="33"/>
      <c r="G14" s="33"/>
      <c r="H14" s="33"/>
      <c r="J14" s="32"/>
      <c r="K14" s="32"/>
      <c r="L14" s="32"/>
      <c r="M14" s="32"/>
      <c r="N14" s="32"/>
      <c r="O14" s="32"/>
      <c r="P14" s="32"/>
      <c r="Q14" s="32"/>
      <c r="R14" s="32"/>
      <c r="S14" s="32"/>
      <c r="T14" s="32"/>
      <c r="U14" s="32"/>
    </row>
    <row r="15" spans="2:21" x14ac:dyDescent="0.3">
      <c r="B15" s="33"/>
      <c r="C15" s="33"/>
      <c r="D15" s="33"/>
      <c r="E15" s="33"/>
      <c r="F15" s="33"/>
      <c r="G15" s="33"/>
      <c r="H15" s="33"/>
      <c r="J15" s="32"/>
      <c r="K15" s="32"/>
      <c r="L15" s="32"/>
      <c r="M15" s="32"/>
      <c r="N15" s="32"/>
      <c r="O15" s="32"/>
      <c r="P15" s="32"/>
      <c r="Q15" s="32"/>
      <c r="R15" s="32"/>
      <c r="S15" s="32"/>
      <c r="T15" s="32"/>
      <c r="U15" s="32"/>
    </row>
    <row r="16" spans="2:21" x14ac:dyDescent="0.3">
      <c r="B16" s="33"/>
      <c r="C16" s="33"/>
      <c r="D16" s="33"/>
      <c r="E16" s="33"/>
      <c r="F16" s="33"/>
      <c r="G16" s="33"/>
      <c r="H16" s="33"/>
      <c r="J16" s="32"/>
      <c r="K16" s="32"/>
      <c r="L16" s="32"/>
      <c r="M16" s="32"/>
      <c r="N16" s="32"/>
      <c r="O16" s="32"/>
      <c r="P16" s="32"/>
      <c r="Q16" s="32"/>
      <c r="R16" s="32"/>
      <c r="S16" s="32"/>
      <c r="T16" s="32"/>
      <c r="U16" s="32"/>
    </row>
  </sheetData>
  <mergeCells count="2">
    <mergeCell ref="B3:H16"/>
    <mergeCell ref="J10:U1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D1A2-010D-4D87-9044-E87E87758076}">
  <dimension ref="B2:M18"/>
  <sheetViews>
    <sheetView workbookViewId="0">
      <selection activeCell="I25" sqref="I25"/>
    </sheetView>
  </sheetViews>
  <sheetFormatPr defaultRowHeight="16.5" x14ac:dyDescent="0.3"/>
  <cols>
    <col min="3" max="3" width="18.625" customWidth="1"/>
    <col min="9" max="9" width="18.125" customWidth="1"/>
    <col min="11" max="12" width="10.125" bestFit="1" customWidth="1"/>
    <col min="13" max="13" width="16" customWidth="1"/>
  </cols>
  <sheetData>
    <row r="2" spans="2:13" ht="18" x14ac:dyDescent="0.3">
      <c r="B2" s="2" t="s">
        <v>122</v>
      </c>
      <c r="C2" s="3" t="s">
        <v>125</v>
      </c>
      <c r="F2" s="7" t="s">
        <v>119</v>
      </c>
      <c r="I2" t="s">
        <v>18</v>
      </c>
      <c r="K2" s="3" t="s">
        <v>123</v>
      </c>
      <c r="L2" s="3" t="s">
        <v>124</v>
      </c>
      <c r="M2" s="3" t="s">
        <v>121</v>
      </c>
    </row>
    <row r="3" spans="2:13" x14ac:dyDescent="0.3">
      <c r="B3" s="2">
        <f>I11*(((C15+273.15)/(I15+273.15))-1)</f>
        <v>1.2722316624185783</v>
      </c>
      <c r="C3" s="2">
        <f>(C12-I11)/0.75</f>
        <v>3.9941775839999991</v>
      </c>
      <c r="F3" s="13" t="s">
        <v>16</v>
      </c>
      <c r="I3">
        <f>(I11*10^6)/(1000*(H6-H18))</f>
        <v>101.89228529839882</v>
      </c>
      <c r="K3" s="3">
        <v>50.39</v>
      </c>
      <c r="L3" s="3">
        <v>29.38</v>
      </c>
      <c r="M3" s="3">
        <f>(I11*10^6)/(1000*(K3-L3))</f>
        <v>666.34935744883387</v>
      </c>
    </row>
    <row r="5" spans="2:13" ht="18" x14ac:dyDescent="0.3">
      <c r="D5" s="3" t="s">
        <v>127</v>
      </c>
      <c r="H5" s="3" t="s">
        <v>128</v>
      </c>
    </row>
    <row r="6" spans="2:13" x14ac:dyDescent="0.3">
      <c r="D6" s="3">
        <v>426.2</v>
      </c>
      <c r="H6" s="3">
        <v>396.8</v>
      </c>
    </row>
    <row r="10" spans="2:13" ht="18" x14ac:dyDescent="0.3">
      <c r="C10" s="48" t="s">
        <v>120</v>
      </c>
      <c r="I10" s="48" t="s">
        <v>115</v>
      </c>
    </row>
    <row r="11" spans="2:13" ht="16.5" customHeight="1" x14ac:dyDescent="0.3">
      <c r="C11" s="48" t="s">
        <v>118</v>
      </c>
      <c r="D11" s="46" t="s">
        <v>31</v>
      </c>
      <c r="H11" s="46" t="s">
        <v>31</v>
      </c>
      <c r="I11" s="48">
        <v>14</v>
      </c>
      <c r="J11" s="46" t="s">
        <v>31</v>
      </c>
    </row>
    <row r="12" spans="2:13" x14ac:dyDescent="0.3">
      <c r="C12" s="48">
        <f>ROUND(I3*(D6-D18)*1000,3)/10^6</f>
        <v>16.995633187999999</v>
      </c>
      <c r="D12" s="47"/>
      <c r="H12" s="47"/>
      <c r="I12" s="49"/>
      <c r="J12" s="47"/>
    </row>
    <row r="14" spans="2:13" ht="18" x14ac:dyDescent="0.3">
      <c r="C14" s="3" t="s">
        <v>117</v>
      </c>
      <c r="I14" s="3" t="s">
        <v>116</v>
      </c>
    </row>
    <row r="15" spans="2:13" x14ac:dyDescent="0.3">
      <c r="C15" s="3">
        <v>35</v>
      </c>
      <c r="I15" s="3">
        <v>9.33</v>
      </c>
    </row>
    <row r="17" spans="4:8" ht="18" x14ac:dyDescent="0.3">
      <c r="D17" s="3" t="s">
        <v>126</v>
      </c>
      <c r="H17" s="3" t="s">
        <v>129</v>
      </c>
    </row>
    <row r="18" spans="4:8" x14ac:dyDescent="0.3">
      <c r="D18" s="3">
        <v>259.39999999999998</v>
      </c>
      <c r="H18" s="3">
        <f>D18</f>
        <v>259.39999999999998</v>
      </c>
    </row>
  </sheetData>
  <mergeCells count="3">
    <mergeCell ref="D11:D12"/>
    <mergeCell ref="H11:H12"/>
    <mergeCell ref="J11:J12"/>
  </mergeCells>
  <phoneticPr fontId="1"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B2817-8CF8-4F44-8FAF-7397AE514406}">
  <dimension ref="B2:T38"/>
  <sheetViews>
    <sheetView tabSelected="1" zoomScale="74" zoomScaleNormal="85" workbookViewId="0">
      <selection activeCell="S18" sqref="S18"/>
    </sheetView>
  </sheetViews>
  <sheetFormatPr defaultRowHeight="16.5" x14ac:dyDescent="0.3"/>
  <cols>
    <col min="2" max="2" width="15.875" customWidth="1"/>
    <col min="4" max="4" width="20.25" customWidth="1"/>
    <col min="8" max="8" width="23.25" customWidth="1"/>
    <col min="10" max="10" width="22.625" customWidth="1"/>
    <col min="12" max="12" width="27.5" customWidth="1"/>
    <col min="13" max="13" width="18" customWidth="1"/>
    <col min="14" max="14" width="12.375" customWidth="1"/>
    <col min="15" max="15" width="13.5" bestFit="1" customWidth="1"/>
    <col min="16" max="16" width="16" bestFit="1" customWidth="1"/>
    <col min="17" max="17" width="7.875" customWidth="1"/>
    <col min="18" max="18" width="13.25" customWidth="1"/>
    <col min="19" max="19" width="18.625" customWidth="1"/>
    <col min="20" max="20" width="13.5" customWidth="1"/>
  </cols>
  <sheetData>
    <row r="2" spans="2:20" ht="17.25" thickBot="1" x14ac:dyDescent="0.35">
      <c r="R2" t="s">
        <v>88</v>
      </c>
    </row>
    <row r="3" spans="2:20" ht="18.75" thickBot="1" x14ac:dyDescent="0.35">
      <c r="D3" s="1" t="s">
        <v>2</v>
      </c>
      <c r="H3" s="23" t="s">
        <v>3</v>
      </c>
      <c r="L3" s="18" t="s">
        <v>23</v>
      </c>
      <c r="R3" s="11">
        <v>40</v>
      </c>
      <c r="S3">
        <v>10000</v>
      </c>
    </row>
    <row r="4" spans="2:20" ht="18" thickBot="1" x14ac:dyDescent="0.35">
      <c r="D4" s="1">
        <v>283</v>
      </c>
      <c r="H4" s="25">
        <v>293</v>
      </c>
      <c r="J4">
        <v>300</v>
      </c>
      <c r="L4" s="16">
        <f>(M8/O14)*L14</f>
        <v>1966.6787348718656</v>
      </c>
    </row>
    <row r="5" spans="2:20" ht="17.25" x14ac:dyDescent="0.3">
      <c r="L5" s="34" t="s">
        <v>27</v>
      </c>
      <c r="M5" s="34"/>
      <c r="N5" s="34"/>
      <c r="O5" s="34"/>
      <c r="P5" s="34"/>
      <c r="Q5" s="34"/>
      <c r="R5" s="34"/>
      <c r="S5" s="34"/>
    </row>
    <row r="6" spans="2:20" x14ac:dyDescent="0.3">
      <c r="B6" s="12" t="s">
        <v>15</v>
      </c>
      <c r="J6" s="12" t="s">
        <v>15</v>
      </c>
      <c r="L6" s="38" t="s">
        <v>24</v>
      </c>
      <c r="M6" s="38"/>
      <c r="N6" s="38"/>
      <c r="O6" s="38"/>
      <c r="P6" s="38"/>
      <c r="R6" s="38" t="s">
        <v>25</v>
      </c>
      <c r="S6" s="38"/>
    </row>
    <row r="7" spans="2:20" ht="18" x14ac:dyDescent="0.3">
      <c r="B7" s="12">
        <v>15</v>
      </c>
      <c r="J7" s="12">
        <v>15</v>
      </c>
      <c r="L7" s="3" t="s">
        <v>17</v>
      </c>
      <c r="M7" s="3" t="s">
        <v>9</v>
      </c>
      <c r="N7" s="3" t="s">
        <v>10</v>
      </c>
      <c r="O7" s="3" t="s">
        <v>20</v>
      </c>
      <c r="P7" s="3" t="s">
        <v>22</v>
      </c>
      <c r="R7" s="3" t="s">
        <v>19</v>
      </c>
      <c r="S7" s="3" t="s">
        <v>13</v>
      </c>
    </row>
    <row r="8" spans="2:20" x14ac:dyDescent="0.3">
      <c r="L8" s="10">
        <v>2283.6</v>
      </c>
      <c r="M8" s="10">
        <v>0.124</v>
      </c>
      <c r="N8" s="10">
        <v>3.2988</v>
      </c>
      <c r="O8" s="10">
        <v>571.48</v>
      </c>
      <c r="P8" s="10">
        <v>1.8000000000000001E-4</v>
      </c>
      <c r="R8" s="10">
        <v>700</v>
      </c>
      <c r="S8" s="10">
        <v>1</v>
      </c>
    </row>
    <row r="9" spans="2:20" ht="18" x14ac:dyDescent="0.3">
      <c r="B9" s="3" t="s">
        <v>33</v>
      </c>
      <c r="C9" s="35" t="s">
        <v>31</v>
      </c>
      <c r="D9" s="19" t="s">
        <v>4</v>
      </c>
      <c r="H9" s="6" t="s">
        <v>5</v>
      </c>
      <c r="I9" s="40" t="s">
        <v>6</v>
      </c>
      <c r="J9" s="8" t="s">
        <v>7</v>
      </c>
      <c r="O9" s="7"/>
    </row>
    <row r="10" spans="2:20" x14ac:dyDescent="0.3">
      <c r="B10" s="3">
        <f>1000*(797.87-11.35)</f>
        <v>786520</v>
      </c>
      <c r="C10" s="36"/>
      <c r="D10" s="20">
        <f>H18-D18</f>
        <v>108</v>
      </c>
      <c r="H10" s="5">
        <f>H4-D4</f>
        <v>10</v>
      </c>
      <c r="I10" s="41"/>
      <c r="J10" s="9">
        <f>(D10-H10)/LN(D10/H10)</f>
        <v>41.184324436652787</v>
      </c>
      <c r="O10" s="7"/>
    </row>
    <row r="11" spans="2:20" x14ac:dyDescent="0.3">
      <c r="B11" s="7"/>
    </row>
    <row r="12" spans="2:20" x14ac:dyDescent="0.3">
      <c r="B12" s="13" t="s">
        <v>16</v>
      </c>
      <c r="J12" s="13" t="s">
        <v>16</v>
      </c>
      <c r="L12" s="38" t="s">
        <v>26</v>
      </c>
      <c r="M12" s="38"/>
      <c r="N12" s="38"/>
      <c r="O12" s="38"/>
      <c r="P12" s="38"/>
      <c r="R12" s="28" t="s">
        <v>28</v>
      </c>
    </row>
    <row r="13" spans="2:20" x14ac:dyDescent="0.3">
      <c r="B13" s="21" t="s">
        <v>32</v>
      </c>
      <c r="J13" s="14" t="s">
        <v>18</v>
      </c>
      <c r="L13" s="15" t="s">
        <v>21</v>
      </c>
      <c r="M13" s="3" t="s">
        <v>11</v>
      </c>
      <c r="N13" s="3" t="s">
        <v>12</v>
      </c>
      <c r="O13" s="3" t="s">
        <v>8</v>
      </c>
      <c r="P13" s="3" t="s">
        <v>14</v>
      </c>
      <c r="R13" s="5" t="s">
        <v>29</v>
      </c>
      <c r="S13" s="29" t="s">
        <v>93</v>
      </c>
      <c r="T13" s="29" t="s">
        <v>91</v>
      </c>
    </row>
    <row r="14" spans="2:20" x14ac:dyDescent="0.3">
      <c r="B14" s="21">
        <f>(B7*10^6)/B10</f>
        <v>19.071352286019426</v>
      </c>
      <c r="J14" s="14">
        <f>(J7*10^6)/(L8*(H4-H18))</f>
        <v>89.980492229284692</v>
      </c>
      <c r="L14" s="15">
        <f>((N14/8)*M14*N8)/(1.07+12.7*((N14/8)^0.5)*((N8^0.66)-1))</f>
        <v>256.93706052358243</v>
      </c>
      <c r="M14" s="3">
        <f>(O8*P14*O14)/P8</f>
        <v>56127.141368342294</v>
      </c>
      <c r="N14" s="3">
        <f>(0.79*LN(M14)-1.64)^(-2)</f>
        <v>2.0414309991533163E-2</v>
      </c>
      <c r="O14" s="3">
        <f>(19.5-2*1.65)*10^-3</f>
        <v>1.6199999999999999E-2</v>
      </c>
      <c r="P14" s="3">
        <f>(J14*4)/(O8*PI()*R8*O14^2)</f>
        <v>1.091262868504046</v>
      </c>
      <c r="R14" s="5">
        <f>0.001*((O8*N14*P14^2)*R3)/(2*O14)</f>
        <v>17.151791100918036</v>
      </c>
      <c r="S14">
        <f>(N15*S3*O8*T17^2)/(2*S17)</f>
        <v>1173006.6131247615</v>
      </c>
      <c r="T14">
        <f>S14/10^6</f>
        <v>1.1730066131247614</v>
      </c>
    </row>
    <row r="15" spans="2:20" x14ac:dyDescent="0.3">
      <c r="J15" s="7" t="s">
        <v>75</v>
      </c>
      <c r="M15" s="17">
        <f>O8*S17*T17/P8</f>
        <v>2545927.1324680061</v>
      </c>
      <c r="N15" s="3">
        <f>(0.79*LN(M15)-1.64)^(-2)</f>
        <v>9.9750382382159351E-3</v>
      </c>
      <c r="O15" t="s">
        <v>92</v>
      </c>
      <c r="R15" t="s">
        <v>89</v>
      </c>
    </row>
    <row r="16" spans="2:20" ht="17.25" thickBot="1" x14ac:dyDescent="0.35">
      <c r="K16" s="37" t="s">
        <v>47</v>
      </c>
      <c r="L16" s="3" t="s">
        <v>45</v>
      </c>
      <c r="O16" s="7">
        <f>(19.5-2*1.65)*10^-3</f>
        <v>1.6199999999999999E-2</v>
      </c>
      <c r="S16" t="s">
        <v>94</v>
      </c>
      <c r="T16" t="s">
        <v>90</v>
      </c>
    </row>
    <row r="17" spans="4:20" ht="17.25" thickBot="1" x14ac:dyDescent="0.35">
      <c r="D17" s="1" t="s">
        <v>1</v>
      </c>
      <c r="H17" s="24" t="s">
        <v>0</v>
      </c>
      <c r="K17" s="38"/>
      <c r="L17" s="3">
        <f>0.023*(M14^0.8)*(N8^0.4)</f>
        <v>233.56543318749564</v>
      </c>
      <c r="O17">
        <f>10^-3*(25.4-1.65*2)</f>
        <v>2.2099999999999998E-2</v>
      </c>
      <c r="S17">
        <v>0.25</v>
      </c>
      <c r="T17">
        <f>J14*4/(PI()*(S17^2)*O8)</f>
        <v>3.2075795047542601</v>
      </c>
    </row>
    <row r="18" spans="4:20" ht="17.25" thickBot="1" x14ac:dyDescent="0.35">
      <c r="D18" s="1">
        <v>112</v>
      </c>
      <c r="H18" s="26">
        <v>220</v>
      </c>
      <c r="K18" s="38"/>
      <c r="L18" s="3" t="s">
        <v>46</v>
      </c>
    </row>
    <row r="19" spans="4:20" x14ac:dyDescent="0.3">
      <c r="K19" s="38"/>
      <c r="L19" s="3">
        <f>(M8/O14)*L17</f>
        <v>1787.784797237621</v>
      </c>
    </row>
    <row r="20" spans="4:20" x14ac:dyDescent="0.3">
      <c r="R20" t="s">
        <v>82</v>
      </c>
    </row>
    <row r="21" spans="4:20" ht="16.5" customHeight="1" x14ac:dyDescent="0.3">
      <c r="M21" t="s">
        <v>111</v>
      </c>
      <c r="R21" t="s">
        <v>83</v>
      </c>
    </row>
    <row r="22" spans="4:20" x14ac:dyDescent="0.3">
      <c r="K22">
        <v>112</v>
      </c>
      <c r="L22" s="18" t="s">
        <v>110</v>
      </c>
      <c r="R22" t="s">
        <v>84</v>
      </c>
    </row>
    <row r="23" spans="4:20" x14ac:dyDescent="0.3">
      <c r="K23">
        <v>190</v>
      </c>
      <c r="L23" s="2">
        <f>(1/$L$4+1/'외부 열전달 계수 계산'!B11)^(-1)</f>
        <v>892.68153671895891</v>
      </c>
      <c r="M23">
        <f>($B$14*'핀치점 확인'!E14*('내부 열전달 계수 계산'!K23-'내부 열전달 계수 계산'!K22))/('내부 열전달 계수 계산'!L23*'핀치점 확인'!H19*PI()*'내부 열전달 계수 계산'!$O$14*'내부 열전달 계수 계산'!$R$8)</f>
        <v>2.2995504868742458</v>
      </c>
      <c r="R23" t="s">
        <v>85</v>
      </c>
    </row>
    <row r="24" spans="4:20" x14ac:dyDescent="0.3">
      <c r="K24">
        <v>190</v>
      </c>
      <c r="L24" s="18" t="s">
        <v>110</v>
      </c>
    </row>
    <row r="25" spans="4:20" x14ac:dyDescent="0.3">
      <c r="K25">
        <v>205</v>
      </c>
      <c r="L25" s="2">
        <f>(1/$L$4+1/'외부 열전달 계수 계산'!B22)^(-1)</f>
        <v>992.36345720368104</v>
      </c>
      <c r="M25">
        <f>($B$14*'핀치점 확인'!E45*('내부 열전달 계수 계산'!K25-'내부 열전달 계수 계산'!K24))/('내부 열전달 계수 계산'!L25*'핀치점 확인'!H50*PI()*'내부 열전달 계수 계산'!O14*'내부 열전달 계수 계산'!R8)</f>
        <v>1.1988351792110743</v>
      </c>
      <c r="R25" t="s">
        <v>86</v>
      </c>
    </row>
    <row r="26" spans="4:20" x14ac:dyDescent="0.3">
      <c r="K26">
        <v>205</v>
      </c>
      <c r="L26" s="18" t="s">
        <v>110</v>
      </c>
      <c r="R26" t="s">
        <v>87</v>
      </c>
    </row>
    <row r="27" spans="4:20" x14ac:dyDescent="0.3">
      <c r="K27">
        <v>220</v>
      </c>
      <c r="L27" s="2">
        <f>(1/$L$4+1/'외부 열전달 계수 계산'!B33)^(-1)</f>
        <v>966.99159368034555</v>
      </c>
      <c r="M27">
        <f>($B$14*'핀치점 확인'!L14*('내부 열전달 계수 계산'!K27-'내부 열전달 계수 계산'!K26))/('내부 열전달 계수 계산'!L27*'핀치점 확인'!O19*PI()*'내부 열전달 계수 계산'!$O$14*'내부 열전달 계수 계산'!$R$8)</f>
        <v>1.3134842671603555</v>
      </c>
    </row>
    <row r="28" spans="4:20" x14ac:dyDescent="0.3">
      <c r="K28">
        <v>220</v>
      </c>
      <c r="L28" s="18" t="s">
        <v>110</v>
      </c>
      <c r="R28" t="s">
        <v>76</v>
      </c>
    </row>
    <row r="29" spans="4:20" x14ac:dyDescent="0.3">
      <c r="K29">
        <v>283</v>
      </c>
      <c r="L29" s="2">
        <f>(1/$L$4+1/'외부 열전달 계수 계산'!B44)^(-1)</f>
        <v>758.39362256555296</v>
      </c>
      <c r="M29">
        <f>($B$14*'핀치점 확인'!L45*('내부 열전달 계수 계산'!K29-'내부 열전달 계수 계산'!K28))/('내부 열전달 계수 계산'!L29*'핀치점 확인'!O50*PI()*'내부 열전달 계수 계산'!$O$14*'내부 열전달 계수 계산'!$R$8)</f>
        <v>6.0993122258686938</v>
      </c>
      <c r="R29" t="s">
        <v>77</v>
      </c>
    </row>
    <row r="30" spans="4:20" x14ac:dyDescent="0.3">
      <c r="M30">
        <f>SUM(M23,M25,M27,M29)</f>
        <v>10.91118215911437</v>
      </c>
      <c r="R30" t="s">
        <v>78</v>
      </c>
    </row>
    <row r="31" spans="4:20" x14ac:dyDescent="0.3">
      <c r="R31" t="s">
        <v>79</v>
      </c>
    </row>
    <row r="32" spans="4:20" x14ac:dyDescent="0.3">
      <c r="L32" s="7" t="s">
        <v>74</v>
      </c>
      <c r="R32" t="s">
        <v>80</v>
      </c>
    </row>
    <row r="33" spans="5:18" x14ac:dyDescent="0.3">
      <c r="L33">
        <v>2283.6</v>
      </c>
      <c r="M33">
        <v>0.124</v>
      </c>
      <c r="N33">
        <v>3.2988</v>
      </c>
      <c r="O33">
        <v>571.48</v>
      </c>
      <c r="P33">
        <v>1.8000000000000001E-4</v>
      </c>
      <c r="R33" t="s">
        <v>81</v>
      </c>
    </row>
    <row r="34" spans="5:18" ht="16.5" customHeight="1" x14ac:dyDescent="0.3">
      <c r="E34" s="39"/>
      <c r="F34" s="39"/>
      <c r="G34" s="39"/>
    </row>
    <row r="35" spans="5:18" ht="16.5" customHeight="1" x14ac:dyDescent="0.3">
      <c r="E35" s="39"/>
      <c r="F35" s="39"/>
      <c r="G35" s="39"/>
      <c r="L35" t="s">
        <v>112</v>
      </c>
    </row>
    <row r="36" spans="5:18" x14ac:dyDescent="0.3">
      <c r="E36" s="39"/>
      <c r="F36" s="39"/>
      <c r="G36" s="39"/>
      <c r="L36">
        <v>4494.2</v>
      </c>
      <c r="M36">
        <v>0.63334999999999997</v>
      </c>
      <c r="N36">
        <v>1.5894999999999999</v>
      </c>
      <c r="O36">
        <v>669.93</v>
      </c>
      <c r="P36">
        <v>2.24E-4</v>
      </c>
    </row>
    <row r="37" spans="5:18" x14ac:dyDescent="0.3">
      <c r="L37" t="s">
        <v>113</v>
      </c>
    </row>
    <row r="38" spans="5:18" x14ac:dyDescent="0.3">
      <c r="L38">
        <v>2119.6</v>
      </c>
      <c r="M38">
        <v>0.11262</v>
      </c>
      <c r="N38">
        <v>5.6772</v>
      </c>
      <c r="O38">
        <v>617.98</v>
      </c>
      <c r="P38">
        <v>2.9999999999999997E-4</v>
      </c>
    </row>
  </sheetData>
  <mergeCells count="8">
    <mergeCell ref="L5:S5"/>
    <mergeCell ref="C9:C10"/>
    <mergeCell ref="K16:K19"/>
    <mergeCell ref="E34:G36"/>
    <mergeCell ref="I9:I10"/>
    <mergeCell ref="L6:P6"/>
    <mergeCell ref="R6:S6"/>
    <mergeCell ref="L12:P12"/>
  </mergeCells>
  <phoneticPr fontId="1"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3BC37-70CF-4975-9E3A-89EAF2AE9B79}">
  <dimension ref="B1:N44"/>
  <sheetViews>
    <sheetView workbookViewId="0">
      <selection activeCell="J4" sqref="J4"/>
    </sheetView>
  </sheetViews>
  <sheetFormatPr defaultRowHeight="16.5" x14ac:dyDescent="0.3"/>
  <cols>
    <col min="2" max="2" width="27.625" bestFit="1" customWidth="1"/>
    <col min="3" max="3" width="12.75" bestFit="1" customWidth="1"/>
    <col min="5" max="5" width="10.875" customWidth="1"/>
    <col min="6" max="6" width="28.5" customWidth="1"/>
    <col min="7" max="7" width="9" customWidth="1"/>
    <col min="8" max="8" width="11.875" customWidth="1"/>
    <col min="9" max="9" width="10.75" bestFit="1" customWidth="1"/>
    <col min="10" max="10" width="12.625" bestFit="1" customWidth="1"/>
    <col min="11" max="11" width="14.375" bestFit="1" customWidth="1"/>
    <col min="12" max="12" width="10" customWidth="1"/>
  </cols>
  <sheetData>
    <row r="1" spans="2:14" x14ac:dyDescent="0.3">
      <c r="B1" t="s">
        <v>103</v>
      </c>
    </row>
    <row r="2" spans="2:14" x14ac:dyDescent="0.3">
      <c r="B2" s="3" t="s">
        <v>53</v>
      </c>
      <c r="C2" s="2" t="s">
        <v>10</v>
      </c>
      <c r="D2" s="2" t="s">
        <v>100</v>
      </c>
      <c r="E2" s="3" t="s">
        <v>99</v>
      </c>
      <c r="F2" s="2" t="s">
        <v>102</v>
      </c>
      <c r="H2" s="2" t="s">
        <v>32</v>
      </c>
      <c r="I2" s="2" t="s">
        <v>98</v>
      </c>
      <c r="J2" s="2" t="s">
        <v>73</v>
      </c>
      <c r="K2" s="2" t="s">
        <v>70</v>
      </c>
      <c r="L2" s="2" t="s">
        <v>72</v>
      </c>
      <c r="M2" s="2" t="s">
        <v>69</v>
      </c>
      <c r="N2" s="2" t="s">
        <v>97</v>
      </c>
    </row>
    <row r="3" spans="2:14" x14ac:dyDescent="0.3">
      <c r="B3" s="2" t="s">
        <v>106</v>
      </c>
      <c r="C3" s="2">
        <f>AVERAGE('LNG 상태량'!F3:F81)</f>
        <v>1.8299088607594931</v>
      </c>
      <c r="D3" s="2">
        <f>AVERAGE('LNG 상태량'!D3:D81)</f>
        <v>0.13839959493670884</v>
      </c>
      <c r="E3" s="3">
        <f>AVERAGE('LNG 상태량'!E3:E81)</f>
        <v>6.7609012658227801E-5</v>
      </c>
      <c r="F3" s="2">
        <f>AVERAGE('LNG 상태량'!B3:B81)</f>
        <v>363.3713924050632</v>
      </c>
      <c r="H3" s="2">
        <f>'내부 열전달 계수 계산'!B14</f>
        <v>19.071352286019426</v>
      </c>
      <c r="I3" s="2">
        <f>10^(-3)*23.8125</f>
        <v>2.38125E-2</v>
      </c>
      <c r="J3" s="2">
        <v>0.3</v>
      </c>
      <c r="K3" s="2">
        <f>0.0174*(M3/0.215)^(1/2.207)</f>
        <v>0.6794359374357607</v>
      </c>
      <c r="L3" s="2"/>
      <c r="M3" s="2">
        <f>'내부 열전달 계수 계산'!R8</f>
        <v>700</v>
      </c>
      <c r="N3" s="2">
        <f>10^(-3)*19.05</f>
        <v>1.9050000000000001E-2</v>
      </c>
    </row>
    <row r="4" spans="2:14" x14ac:dyDescent="0.3">
      <c r="K4" t="s">
        <v>71</v>
      </c>
    </row>
    <row r="5" spans="2:14" ht="18" x14ac:dyDescent="0.3">
      <c r="B5" s="2" t="s">
        <v>101</v>
      </c>
      <c r="C5" s="2" t="s">
        <v>95</v>
      </c>
      <c r="D5" s="2" t="s">
        <v>96</v>
      </c>
      <c r="E5" s="2" t="s">
        <v>11</v>
      </c>
      <c r="F5" s="2" t="s">
        <v>107</v>
      </c>
      <c r="K5">
        <f>K3*1000</f>
        <v>679.43593743576071</v>
      </c>
    </row>
    <row r="6" spans="2:14" x14ac:dyDescent="0.3">
      <c r="B6" s="2">
        <f>F6/F3</f>
        <v>1.2874518355270916</v>
      </c>
      <c r="C6" s="2">
        <f>0.5*(1+$J$3/$K$3)*(0.08*E6^0.6821+0.7*E6^0.1772)</f>
        <v>181.67789751489622</v>
      </c>
      <c r="D6" s="2">
        <f>(1.27/$N$3)*($I$3^2-0.785*$N$3^2)</f>
        <v>1.8810446249999998E-2</v>
      </c>
      <c r="E6" s="2">
        <f>F6*D6/E3</f>
        <v>130159.60705530301</v>
      </c>
      <c r="F6" s="2">
        <f>$H$3/F8</f>
        <v>467.82316612993372</v>
      </c>
    </row>
    <row r="7" spans="2:14" ht="18" x14ac:dyDescent="0.3">
      <c r="F7" s="2" t="s">
        <v>108</v>
      </c>
    </row>
    <row r="8" spans="2:14" x14ac:dyDescent="0.3">
      <c r="F8" s="2">
        <f>(($I$3-$N$3)*$K$3*$J$3)/$I$3</f>
        <v>4.0766156246145636E-2</v>
      </c>
    </row>
    <row r="9" spans="2:14" x14ac:dyDescent="0.3">
      <c r="B9" s="31"/>
    </row>
    <row r="10" spans="2:14" x14ac:dyDescent="0.3">
      <c r="B10" s="30" t="s">
        <v>30</v>
      </c>
    </row>
    <row r="11" spans="2:14" x14ac:dyDescent="0.3">
      <c r="B11" s="2">
        <f>(D3/D6)*C6*C3^0.333</f>
        <v>1634.6577051572208</v>
      </c>
    </row>
    <row r="13" spans="2:14" x14ac:dyDescent="0.3">
      <c r="B13" s="3" t="s">
        <v>58</v>
      </c>
      <c r="C13" s="2" t="s">
        <v>10</v>
      </c>
      <c r="D13" s="2" t="s">
        <v>100</v>
      </c>
      <c r="E13" s="3" t="s">
        <v>99</v>
      </c>
      <c r="F13" s="2" t="s">
        <v>102</v>
      </c>
    </row>
    <row r="14" spans="2:14" x14ac:dyDescent="0.3">
      <c r="B14" s="2" t="s">
        <v>106</v>
      </c>
      <c r="C14" s="2">
        <f>AVERAGE('LNG 상태량'!F81:F96)</f>
        <v>2.69369375</v>
      </c>
      <c r="D14" s="2">
        <f>AVERAGE('LNG 상태량'!D81:D96)</f>
        <v>7.5516187500000012E-2</v>
      </c>
      <c r="E14" s="3">
        <f>AVERAGE('LNG 상태량'!E81:E96)</f>
        <v>2.4610937499999998E-5</v>
      </c>
      <c r="F14" s="2">
        <f>AVERAGE('LNG 상태량'!B81:B96)</f>
        <v>233.11125000000001</v>
      </c>
    </row>
    <row r="16" spans="2:14" ht="18" x14ac:dyDescent="0.3">
      <c r="B16" s="2" t="s">
        <v>101</v>
      </c>
      <c r="C16" s="2" t="s">
        <v>95</v>
      </c>
      <c r="D16" s="2" t="s">
        <v>96</v>
      </c>
      <c r="E16" s="2" t="s">
        <v>11</v>
      </c>
      <c r="F16" s="2" t="s">
        <v>107</v>
      </c>
    </row>
    <row r="17" spans="2:8" x14ac:dyDescent="0.3">
      <c r="B17" s="2">
        <f>F17/F14</f>
        <v>2.0068665331678917</v>
      </c>
      <c r="C17" s="2">
        <f>0.5*(1+$J$3/$K$3)*(0.08*E17^0.6821+0.7*E17^0.1772)</f>
        <v>358.72179045660198</v>
      </c>
      <c r="D17" s="2">
        <f>(1.27/$N$3)*($I$3^2-0.785*$N$3^2)</f>
        <v>1.8810446249999998E-2</v>
      </c>
      <c r="E17" s="2">
        <f>F17*D17/E14</f>
        <v>357563.07621324621</v>
      </c>
      <c r="F17" s="2">
        <f>$H$3/F19</f>
        <v>467.82316612993372</v>
      </c>
    </row>
    <row r="18" spans="2:8" ht="18" x14ac:dyDescent="0.3">
      <c r="F18" s="2" t="s">
        <v>108</v>
      </c>
      <c r="H18" t="s">
        <v>104</v>
      </c>
    </row>
    <row r="19" spans="2:8" x14ac:dyDescent="0.3">
      <c r="F19" s="2">
        <f>(($I$3-$N$3)*$K$3*$J$3)/$I$3</f>
        <v>4.0766156246145636E-2</v>
      </c>
    </row>
    <row r="20" spans="2:8" x14ac:dyDescent="0.3">
      <c r="C20" s="7"/>
    </row>
    <row r="21" spans="2:8" x14ac:dyDescent="0.3">
      <c r="B21" s="30" t="s">
        <v>30</v>
      </c>
      <c r="C21" s="7"/>
    </row>
    <row r="22" spans="2:8" x14ac:dyDescent="0.3">
      <c r="B22" s="2">
        <f>(D14/D17)*C17*C14^0.333</f>
        <v>2003.1094177413368</v>
      </c>
      <c r="C22" s="7"/>
    </row>
    <row r="23" spans="2:8" x14ac:dyDescent="0.3">
      <c r="C23" s="7"/>
    </row>
    <row r="24" spans="2:8" x14ac:dyDescent="0.3">
      <c r="B24" s="3" t="s">
        <v>59</v>
      </c>
      <c r="C24" s="2" t="s">
        <v>10</v>
      </c>
      <c r="D24" s="2" t="s">
        <v>100</v>
      </c>
      <c r="E24" s="3" t="s">
        <v>99</v>
      </c>
      <c r="F24" s="2" t="s">
        <v>102</v>
      </c>
    </row>
    <row r="25" spans="2:8" x14ac:dyDescent="0.3">
      <c r="B25" s="2" t="s">
        <v>106</v>
      </c>
      <c r="C25" s="2">
        <f>AVERAGE('LNG 상태량'!F96:F111)</f>
        <v>2.33736875</v>
      </c>
      <c r="D25" s="2">
        <f>AVERAGE('LNG 상태량'!D96:D111)</f>
        <v>5.1935499999999996E-2</v>
      </c>
      <c r="E25" s="3">
        <f>AVERAGE('LNG 상태량'!E96:E111)</f>
        <v>1.4238687500000001E-5</v>
      </c>
      <c r="F25" s="2">
        <f>AVERAGE('LNG 상태량'!B96:B111)</f>
        <v>132.61874999999998</v>
      </c>
    </row>
    <row r="27" spans="2:8" ht="18" x14ac:dyDescent="0.3">
      <c r="B27" s="2" t="s">
        <v>101</v>
      </c>
      <c r="C27" s="2" t="s">
        <v>95</v>
      </c>
      <c r="D27" s="2" t="s">
        <v>96</v>
      </c>
      <c r="E27" s="2" t="s">
        <v>11</v>
      </c>
      <c r="F27" s="2" t="s">
        <v>107</v>
      </c>
    </row>
    <row r="28" spans="2:8" x14ac:dyDescent="0.3">
      <c r="B28" s="2">
        <f>F28/F25</f>
        <v>3.5275793666426036</v>
      </c>
      <c r="C28" s="2">
        <f>0.5*(1+$J$3/$K$3)*(0.08*E28^0.6821+0.7*E28^0.1772)</f>
        <v>519.32667147140364</v>
      </c>
      <c r="D28" s="2">
        <f>(1.27/$N$3)*($I$3^2-0.785*$N$3^2)</f>
        <v>1.8810446249999998E-2</v>
      </c>
      <c r="E28" s="2">
        <f>F28*D28/E25</f>
        <v>618031.86009889876</v>
      </c>
      <c r="F28" s="2">
        <f>$H$3/F30</f>
        <v>467.82316612993372</v>
      </c>
    </row>
    <row r="29" spans="2:8" ht="18" x14ac:dyDescent="0.3">
      <c r="F29" s="2" t="s">
        <v>108</v>
      </c>
    </row>
    <row r="30" spans="2:8" x14ac:dyDescent="0.3">
      <c r="F30" s="2">
        <f>(($I$3-$N$3)*$K$3*$J$3)/$I$3</f>
        <v>4.0766156246145636E-2</v>
      </c>
    </row>
    <row r="31" spans="2:8" x14ac:dyDescent="0.3">
      <c r="C31" s="7"/>
    </row>
    <row r="32" spans="2:8" x14ac:dyDescent="0.3">
      <c r="B32" s="30" t="s">
        <v>30</v>
      </c>
      <c r="C32" s="7"/>
    </row>
    <row r="33" spans="2:6" x14ac:dyDescent="0.3">
      <c r="B33" s="2">
        <f>(D25/D28)*C28*C25^0.333</f>
        <v>1902.3569732269382</v>
      </c>
      <c r="C33" s="7"/>
    </row>
    <row r="35" spans="2:6" x14ac:dyDescent="0.3">
      <c r="B35" s="3" t="s">
        <v>60</v>
      </c>
      <c r="C35" s="2" t="s">
        <v>10</v>
      </c>
      <c r="D35" s="2" t="s">
        <v>100</v>
      </c>
      <c r="E35" s="3" t="s">
        <v>99</v>
      </c>
      <c r="F35" s="2" t="s">
        <v>102</v>
      </c>
    </row>
    <row r="36" spans="2:6" x14ac:dyDescent="0.3">
      <c r="B36" s="2" t="s">
        <v>106</v>
      </c>
      <c r="C36" s="2">
        <f>AVERAGE('LNG 상태량'!F111:F174)</f>
        <v>1.09135421875</v>
      </c>
      <c r="D36" s="2">
        <f>AVERAGE('LNG 상태량'!D111:D174)</f>
        <v>3.85338125E-2</v>
      </c>
      <c r="E36" s="3">
        <f>AVERAGE('LNG 상태량'!E111:E174)</f>
        <v>1.1933640625000004E-5</v>
      </c>
      <c r="F36" s="2">
        <f>AVERAGE('LNG 상태량'!B111:B174)</f>
        <v>72.40857812500002</v>
      </c>
    </row>
    <row r="38" spans="2:6" ht="18" x14ac:dyDescent="0.3">
      <c r="B38" s="2" t="s">
        <v>101</v>
      </c>
      <c r="C38" s="2" t="s">
        <v>95</v>
      </c>
      <c r="D38" s="2" t="s">
        <v>96</v>
      </c>
      <c r="E38" s="2" t="s">
        <v>11</v>
      </c>
      <c r="F38" s="2" t="s">
        <v>107</v>
      </c>
    </row>
    <row r="39" spans="2:6" x14ac:dyDescent="0.3">
      <c r="B39" s="2">
        <f>F39/F36</f>
        <v>6.460880440468304</v>
      </c>
      <c r="C39" s="2">
        <f>0.5*(1+$J$3/$K$3)*(0.08*E39^0.6821+0.7*E39^0.1772)</f>
        <v>585.2928247117427</v>
      </c>
      <c r="D39" s="2">
        <f>(1.27/$N$3)*($I$3^2-0.785*$N$3^2)</f>
        <v>1.8810446249999998E-2</v>
      </c>
      <c r="E39" s="2">
        <f>F39*D39/E36</f>
        <v>737408.03812683397</v>
      </c>
      <c r="F39" s="2">
        <f>$H$3/F41</f>
        <v>467.82316612993372</v>
      </c>
    </row>
    <row r="40" spans="2:6" ht="18" x14ac:dyDescent="0.3">
      <c r="F40" s="2" t="s">
        <v>108</v>
      </c>
    </row>
    <row r="41" spans="2:6" x14ac:dyDescent="0.3">
      <c r="F41" s="2">
        <f>(($I$3-$N$3)*$K$3*$J$3)/$I$3</f>
        <v>4.0766156246145636E-2</v>
      </c>
    </row>
    <row r="42" spans="2:6" x14ac:dyDescent="0.3">
      <c r="C42" s="7"/>
    </row>
    <row r="43" spans="2:6" x14ac:dyDescent="0.3">
      <c r="B43" s="30" t="s">
        <v>30</v>
      </c>
      <c r="C43" s="7"/>
    </row>
    <row r="44" spans="2:6" x14ac:dyDescent="0.3">
      <c r="B44" s="2">
        <f>(D36/D39)*C39*C36^0.333</f>
        <v>1234.407835510927</v>
      </c>
      <c r="C44" s="7"/>
    </row>
  </sheetData>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CEDB5-0E14-4923-836C-4A967BD69A01}">
  <dimension ref="E2:O70"/>
  <sheetViews>
    <sheetView topLeftCell="B1" zoomScale="70" zoomScaleNormal="70" workbookViewId="0">
      <selection activeCell="I30" sqref="I30"/>
    </sheetView>
  </sheetViews>
  <sheetFormatPr defaultRowHeight="16.5" x14ac:dyDescent="0.3"/>
  <cols>
    <col min="3" max="3" width="20.75" customWidth="1"/>
    <col min="4" max="4" width="7.5" customWidth="1"/>
    <col min="5" max="5" width="24.875" customWidth="1"/>
    <col min="7" max="7" width="18" customWidth="1"/>
    <col min="8" max="8" width="25.25" bestFit="1" customWidth="1"/>
    <col min="9" max="9" width="16.25" customWidth="1"/>
    <col min="10" max="10" width="27.5" customWidth="1"/>
    <col min="11" max="11" width="14.5" customWidth="1"/>
    <col min="12" max="12" width="26.875" bestFit="1" customWidth="1"/>
    <col min="14" max="14" width="17.875" customWidth="1"/>
    <col min="15" max="15" width="25.25" bestFit="1" customWidth="1"/>
  </cols>
  <sheetData>
    <row r="2" spans="5:15" x14ac:dyDescent="0.3">
      <c r="F2" s="38" t="s">
        <v>53</v>
      </c>
      <c r="G2" s="38"/>
      <c r="M2" s="42" t="s">
        <v>59</v>
      </c>
      <c r="N2" s="43"/>
    </row>
    <row r="3" spans="5:15" x14ac:dyDescent="0.3">
      <c r="F3" s="38"/>
      <c r="G3" s="38"/>
      <c r="M3" s="44"/>
      <c r="N3" s="45"/>
    </row>
    <row r="4" spans="5:15" ht="17.25" thickBot="1" x14ac:dyDescent="0.35">
      <c r="J4" s="7" t="s">
        <v>52</v>
      </c>
    </row>
    <row r="5" spans="5:15" ht="17.25" thickBot="1" x14ac:dyDescent="0.35">
      <c r="E5" s="1" t="s">
        <v>2</v>
      </c>
      <c r="H5" s="23" t="s">
        <v>3</v>
      </c>
      <c r="J5" s="7" t="s">
        <v>48</v>
      </c>
      <c r="L5" s="1" t="s">
        <v>2</v>
      </c>
      <c r="O5" s="23" t="s">
        <v>3</v>
      </c>
    </row>
    <row r="6" spans="5:15" ht="17.25" thickBot="1" x14ac:dyDescent="0.35">
      <c r="E6" s="1">
        <v>190</v>
      </c>
      <c r="H6" s="25">
        <f>ROUND(H28,3)</f>
        <v>248.80099999999999</v>
      </c>
      <c r="J6" s="7" t="s">
        <v>49</v>
      </c>
      <c r="L6" s="1">
        <v>220</v>
      </c>
      <c r="O6" s="25">
        <f>ROUND(O28,3)</f>
        <v>272.49400000000003</v>
      </c>
    </row>
    <row r="7" spans="5:15" x14ac:dyDescent="0.3">
      <c r="J7" s="7" t="s">
        <v>50</v>
      </c>
    </row>
    <row r="8" spans="5:15" x14ac:dyDescent="0.3">
      <c r="J8" s="7" t="s">
        <v>51</v>
      </c>
    </row>
    <row r="10" spans="5:15" x14ac:dyDescent="0.3">
      <c r="E10" s="4" t="s">
        <v>4</v>
      </c>
      <c r="H10" s="6" t="s">
        <v>5</v>
      </c>
      <c r="L10" s="4" t="s">
        <v>4</v>
      </c>
      <c r="O10" s="6" t="s">
        <v>5</v>
      </c>
    </row>
    <row r="11" spans="5:15" x14ac:dyDescent="0.3">
      <c r="E11" s="5">
        <f>H6-E6</f>
        <v>58.800999999999988</v>
      </c>
      <c r="H11" s="5">
        <f>H17-E17</f>
        <v>108</v>
      </c>
      <c r="L11" s="5">
        <f>O6-L6</f>
        <v>52.494000000000028</v>
      </c>
      <c r="O11" s="5">
        <f>O17-L17</f>
        <v>55.596000000000004</v>
      </c>
    </row>
    <row r="13" spans="5:15" ht="18" x14ac:dyDescent="0.3">
      <c r="E13" s="10" t="s">
        <v>55</v>
      </c>
      <c r="H13" s="10" t="s">
        <v>17</v>
      </c>
      <c r="L13" s="10" t="s">
        <v>55</v>
      </c>
      <c r="O13" s="10" t="s">
        <v>17</v>
      </c>
    </row>
    <row r="14" spans="5:15" x14ac:dyDescent="0.3">
      <c r="E14" s="10">
        <f>3.97831139240506*1000</f>
        <v>3978.3113924050604</v>
      </c>
      <c r="H14" s="10">
        <f>'내부 열전달 계수 계산'!L8</f>
        <v>2283.6</v>
      </c>
      <c r="L14" s="10">
        <f>8.54621875*1000</f>
        <v>8546.21875</v>
      </c>
      <c r="O14" s="10">
        <f>H14</f>
        <v>2283.6</v>
      </c>
    </row>
    <row r="15" spans="5:15" ht="17.25" thickBot="1" x14ac:dyDescent="0.35"/>
    <row r="16" spans="5:15" ht="17.25" thickBot="1" x14ac:dyDescent="0.35">
      <c r="E16" s="1" t="s">
        <v>1</v>
      </c>
      <c r="H16" s="24" t="s">
        <v>63</v>
      </c>
      <c r="L16" s="1" t="s">
        <v>1</v>
      </c>
      <c r="O16" s="24" t="s">
        <v>0</v>
      </c>
    </row>
    <row r="17" spans="5:15" ht="17.25" thickBot="1" x14ac:dyDescent="0.35">
      <c r="E17" s="1">
        <v>112</v>
      </c>
      <c r="H17" s="26">
        <f>'내부 열전달 계수 계산'!H18</f>
        <v>220</v>
      </c>
      <c r="L17" s="1">
        <v>205</v>
      </c>
      <c r="O17" s="26">
        <f>H37</f>
        <v>260.596</v>
      </c>
    </row>
    <row r="19" spans="5:15" x14ac:dyDescent="0.3">
      <c r="H19" s="9">
        <f>(E11-H11)/LN(E11/H11)</f>
        <v>80.923085960591564</v>
      </c>
      <c r="O19" s="9">
        <f>(L11-O11)/LN(L11/O11)</f>
        <v>54.030159715313921</v>
      </c>
    </row>
    <row r="21" spans="5:15" x14ac:dyDescent="0.3">
      <c r="E21" s="13" t="s">
        <v>16</v>
      </c>
      <c r="H21" s="13" t="s">
        <v>16</v>
      </c>
      <c r="L21" s="13" t="s">
        <v>16</v>
      </c>
      <c r="O21" s="13" t="s">
        <v>16</v>
      </c>
    </row>
    <row r="22" spans="5:15" x14ac:dyDescent="0.3">
      <c r="E22" s="21" t="s">
        <v>54</v>
      </c>
      <c r="H22" s="14" t="s">
        <v>18</v>
      </c>
      <c r="L22" s="21" t="s">
        <v>54</v>
      </c>
      <c r="O22" s="14" t="s">
        <v>18</v>
      </c>
    </row>
    <row r="23" spans="5:15" x14ac:dyDescent="0.3">
      <c r="E23" s="21">
        <f>'내부 열전달 계수 계산'!B14</f>
        <v>19.071352286019426</v>
      </c>
      <c r="H23" s="14">
        <f>'내부 열전달 계수 계산'!J14</f>
        <v>89.980492229284692</v>
      </c>
      <c r="L23" s="21">
        <f>'내부 열전달 계수 계산'!B14</f>
        <v>19.071352286019426</v>
      </c>
      <c r="O23" s="14">
        <f>'내부 열전달 계수 계산'!J14</f>
        <v>89.980492229284692</v>
      </c>
    </row>
    <row r="27" spans="5:15" x14ac:dyDescent="0.3">
      <c r="G27" t="s">
        <v>61</v>
      </c>
      <c r="H27" s="27" t="s">
        <v>56</v>
      </c>
      <c r="O27" s="27" t="s">
        <v>56</v>
      </c>
    </row>
    <row r="28" spans="5:15" x14ac:dyDescent="0.3">
      <c r="H28" s="27">
        <f>H17+((E23*E14*(E6-E17))/(H23*H14))</f>
        <v>248.80092695462849</v>
      </c>
      <c r="O28" s="27">
        <f>O17+((L23*L14*(L6-L17))/(O23*O14))</f>
        <v>272.49412024010832</v>
      </c>
    </row>
    <row r="33" spans="5:15" x14ac:dyDescent="0.3">
      <c r="F33" s="38" t="s">
        <v>58</v>
      </c>
      <c r="G33" s="38"/>
      <c r="M33" s="38" t="s">
        <v>60</v>
      </c>
      <c r="N33" s="38"/>
    </row>
    <row r="34" spans="5:15" x14ac:dyDescent="0.3">
      <c r="F34" s="38"/>
      <c r="G34" s="38"/>
      <c r="M34" s="38"/>
      <c r="N34" s="38"/>
    </row>
    <row r="35" spans="5:15" ht="17.25" thickBot="1" x14ac:dyDescent="0.35">
      <c r="J35" s="7"/>
      <c r="N35" s="7"/>
    </row>
    <row r="36" spans="5:15" ht="17.25" thickBot="1" x14ac:dyDescent="0.35">
      <c r="E36" s="1" t="s">
        <v>2</v>
      </c>
      <c r="H36" s="23" t="s">
        <v>3</v>
      </c>
      <c r="J36" s="7"/>
      <c r="L36" s="1" t="s">
        <v>2</v>
      </c>
      <c r="O36" s="23" t="s">
        <v>3</v>
      </c>
    </row>
    <row r="37" spans="5:15" ht="17.25" thickBot="1" x14ac:dyDescent="0.35">
      <c r="E37" s="1">
        <v>205</v>
      </c>
      <c r="H37" s="25">
        <f>ROUND(H59,3)</f>
        <v>260.596</v>
      </c>
      <c r="L37" s="1">
        <v>283</v>
      </c>
      <c r="O37" s="25">
        <f>ROUND(O59,3)</f>
        <v>293.19</v>
      </c>
    </row>
    <row r="41" spans="5:15" x14ac:dyDescent="0.3">
      <c r="E41" s="4" t="s">
        <v>4</v>
      </c>
      <c r="H41" s="6" t="s">
        <v>5</v>
      </c>
      <c r="L41" s="4" t="s">
        <v>4</v>
      </c>
      <c r="O41" s="6" t="s">
        <v>5</v>
      </c>
    </row>
    <row r="42" spans="5:15" x14ac:dyDescent="0.3">
      <c r="E42" s="5">
        <f>H37-E37</f>
        <v>55.596000000000004</v>
      </c>
      <c r="H42" s="5">
        <f>H48-E48</f>
        <v>58.800999999999988</v>
      </c>
      <c r="L42" s="5">
        <f>O37-L37</f>
        <v>10.189999999999998</v>
      </c>
      <c r="O42" s="5">
        <f>O48-L48</f>
        <v>52.494000000000028</v>
      </c>
    </row>
    <row r="44" spans="5:15" ht="18" x14ac:dyDescent="0.3">
      <c r="E44" s="10" t="s">
        <v>55</v>
      </c>
      <c r="H44" s="10" t="s">
        <v>17</v>
      </c>
      <c r="L44" s="10" t="s">
        <v>55</v>
      </c>
      <c r="O44" s="10" t="s">
        <v>17</v>
      </c>
    </row>
    <row r="45" spans="5:15" x14ac:dyDescent="0.3">
      <c r="E45" s="10">
        <f>8.47210625*1000</f>
        <v>8472.1062499999989</v>
      </c>
      <c r="H45" s="10">
        <f>H14</f>
        <v>2283.6</v>
      </c>
      <c r="L45" s="10">
        <f>3.539496875*1000</f>
        <v>3539.4968750000003</v>
      </c>
      <c r="O45" s="10">
        <f>H14</f>
        <v>2283.6</v>
      </c>
    </row>
    <row r="46" spans="5:15" ht="17.25" thickBot="1" x14ac:dyDescent="0.35"/>
    <row r="47" spans="5:15" ht="17.25" thickBot="1" x14ac:dyDescent="0.35">
      <c r="E47" s="1" t="s">
        <v>1</v>
      </c>
      <c r="H47" s="24" t="s">
        <v>0</v>
      </c>
      <c r="L47" s="1" t="s">
        <v>1</v>
      </c>
      <c r="O47" s="24" t="s">
        <v>0</v>
      </c>
    </row>
    <row r="48" spans="5:15" ht="17.25" thickBot="1" x14ac:dyDescent="0.35">
      <c r="E48" s="1">
        <v>190</v>
      </c>
      <c r="H48" s="26">
        <f>H6</f>
        <v>248.80099999999999</v>
      </c>
      <c r="L48" s="1">
        <v>220</v>
      </c>
      <c r="O48" s="26">
        <f>O6</f>
        <v>272.49400000000003</v>
      </c>
    </row>
    <row r="50" spans="5:15" x14ac:dyDescent="0.3">
      <c r="H50" s="9">
        <f>(E42-H42)/LN(E42/H42)</f>
        <v>57.183531402412285</v>
      </c>
      <c r="O50" s="9">
        <f>(L42-O42)/LN(L42/O42)</f>
        <v>25.806262229534852</v>
      </c>
    </row>
    <row r="52" spans="5:15" x14ac:dyDescent="0.3">
      <c r="E52" s="13" t="s">
        <v>16</v>
      </c>
      <c r="H52" s="13" t="s">
        <v>16</v>
      </c>
      <c r="L52" s="13" t="s">
        <v>16</v>
      </c>
      <c r="O52" s="13" t="s">
        <v>16</v>
      </c>
    </row>
    <row r="53" spans="5:15" x14ac:dyDescent="0.3">
      <c r="E53" s="21" t="s">
        <v>54</v>
      </c>
      <c r="H53" s="14" t="s">
        <v>18</v>
      </c>
      <c r="L53" s="21" t="s">
        <v>54</v>
      </c>
      <c r="O53" s="14" t="s">
        <v>18</v>
      </c>
    </row>
    <row r="54" spans="5:15" x14ac:dyDescent="0.3">
      <c r="E54" s="21">
        <f>'내부 열전달 계수 계산'!B14</f>
        <v>19.071352286019426</v>
      </c>
      <c r="H54" s="14">
        <f>'내부 열전달 계수 계산'!J14</f>
        <v>89.980492229284692</v>
      </c>
      <c r="L54" s="21">
        <f>'내부 열전달 계수 계산'!B14</f>
        <v>19.071352286019426</v>
      </c>
      <c r="O54" s="14">
        <f>'내부 열전달 계수 계산'!J14</f>
        <v>89.980492229284692</v>
      </c>
    </row>
    <row r="58" spans="5:15" x14ac:dyDescent="0.3">
      <c r="G58" t="s">
        <v>57</v>
      </c>
      <c r="H58" s="27" t="s">
        <v>56</v>
      </c>
      <c r="O58" s="27" t="s">
        <v>56</v>
      </c>
    </row>
    <row r="59" spans="5:15" x14ac:dyDescent="0.3">
      <c r="H59" s="27">
        <f>H48+((E54*E45*(E37-E48))/(H54*H45))</f>
        <v>260.5959401715786</v>
      </c>
      <c r="N59" t="s">
        <v>57</v>
      </c>
      <c r="O59" s="27">
        <f>O48+((L54*L45*(L37-L48))/(O54*O45))</f>
        <v>293.19041729151837</v>
      </c>
    </row>
    <row r="66" spans="10:10" x14ac:dyDescent="0.3">
      <c r="J66" s="7"/>
    </row>
    <row r="67" spans="10:10" x14ac:dyDescent="0.3">
      <c r="J67" s="7"/>
    </row>
    <row r="68" spans="10:10" x14ac:dyDescent="0.3">
      <c r="J68" s="7"/>
    </row>
    <row r="69" spans="10:10" x14ac:dyDescent="0.3">
      <c r="J69" s="7"/>
    </row>
    <row r="70" spans="10:10" x14ac:dyDescent="0.3">
      <c r="J70" s="7"/>
    </row>
  </sheetData>
  <mergeCells count="4">
    <mergeCell ref="F2:G3"/>
    <mergeCell ref="F33:G34"/>
    <mergeCell ref="M2:N3"/>
    <mergeCell ref="M33:N34"/>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7C4EF-5797-47AA-BCBA-6364D62F7A5E}">
  <dimension ref="A3:H180"/>
  <sheetViews>
    <sheetView zoomScale="66" workbookViewId="0">
      <selection activeCell="H27" sqref="H27"/>
    </sheetView>
  </sheetViews>
  <sheetFormatPr defaultRowHeight="16.5" x14ac:dyDescent="0.3"/>
  <cols>
    <col min="1" max="1" width="29.5" customWidth="1"/>
    <col min="2" max="2" width="12.375" customWidth="1"/>
  </cols>
  <sheetData>
    <row r="3" spans="1:8" x14ac:dyDescent="0.3">
      <c r="A3" s="7" t="s">
        <v>62</v>
      </c>
      <c r="F3" t="s">
        <v>64</v>
      </c>
      <c r="H3" t="s">
        <v>67</v>
      </c>
    </row>
    <row r="4" spans="1:8" x14ac:dyDescent="0.3">
      <c r="A4" s="7">
        <f>'내부 열전달 계수 계산'!H4</f>
        <v>293</v>
      </c>
      <c r="F4">
        <f>'내부 열전달 계수 계산'!J14</f>
        <v>89.980492229284692</v>
      </c>
      <c r="H4">
        <f>'내부 열전달 계수 계산'!L8</f>
        <v>2283.6</v>
      </c>
    </row>
    <row r="5" spans="1:8" x14ac:dyDescent="0.3">
      <c r="A5" s="7" t="s">
        <v>0</v>
      </c>
      <c r="F5" t="s">
        <v>32</v>
      </c>
    </row>
    <row r="6" spans="1:8" x14ac:dyDescent="0.3">
      <c r="A6" s="7">
        <f>'내부 열전달 계수 계산'!H18</f>
        <v>220</v>
      </c>
      <c r="F6">
        <f>'내부 열전달 계수 계산'!B14</f>
        <v>19.071352286019426</v>
      </c>
    </row>
    <row r="8" spans="1:8" x14ac:dyDescent="0.3">
      <c r="B8" t="s">
        <v>65</v>
      </c>
      <c r="C8" t="s">
        <v>66</v>
      </c>
      <c r="E8" t="s">
        <v>68</v>
      </c>
    </row>
    <row r="9" spans="1:8" x14ac:dyDescent="0.3">
      <c r="B9">
        <v>112</v>
      </c>
      <c r="C9">
        <f>A6</f>
        <v>220</v>
      </c>
      <c r="E9">
        <v>3.4127000000000001</v>
      </c>
    </row>
    <row r="10" spans="1:8" x14ac:dyDescent="0.3">
      <c r="B10">
        <v>113</v>
      </c>
      <c r="C10">
        <f>C9+(E10*1000*$F$6*(B10-B9))/($F$4*$H$4)</f>
        <v>220.31721011544525</v>
      </c>
      <c r="E10">
        <v>3.4177</v>
      </c>
    </row>
    <row r="11" spans="1:8" x14ac:dyDescent="0.3">
      <c r="B11">
        <v>114</v>
      </c>
      <c r="C11">
        <f t="shared" ref="C11:C74" si="0">C10+(E11*1000*$F$6*(B11-B10))/($F$4*$H$4)</f>
        <v>220.63489358185424</v>
      </c>
      <c r="E11">
        <v>3.4228000000000001</v>
      </c>
    </row>
    <row r="12" spans="1:8" x14ac:dyDescent="0.3">
      <c r="B12">
        <v>115</v>
      </c>
      <c r="C12">
        <f t="shared" si="0"/>
        <v>220.95306896200987</v>
      </c>
      <c r="E12">
        <v>3.4281000000000001</v>
      </c>
    </row>
    <row r="13" spans="1:8" x14ac:dyDescent="0.3">
      <c r="B13">
        <v>116</v>
      </c>
      <c r="C13">
        <f t="shared" si="0"/>
        <v>221.27173625591212</v>
      </c>
      <c r="E13">
        <v>3.4333999999999998</v>
      </c>
    </row>
    <row r="14" spans="1:8" x14ac:dyDescent="0.3">
      <c r="B14">
        <v>117</v>
      </c>
      <c r="C14">
        <f t="shared" si="0"/>
        <v>221.59091402634388</v>
      </c>
      <c r="E14">
        <v>3.4388999999999998</v>
      </c>
    </row>
    <row r="15" spans="1:8" x14ac:dyDescent="0.3">
      <c r="B15">
        <v>118</v>
      </c>
      <c r="C15">
        <f t="shared" si="0"/>
        <v>221.91061155469663</v>
      </c>
      <c r="E15">
        <v>3.4445000000000001</v>
      </c>
    </row>
    <row r="16" spans="1:8" x14ac:dyDescent="0.3">
      <c r="B16">
        <v>119</v>
      </c>
      <c r="C16">
        <f t="shared" si="0"/>
        <v>222.23084740375324</v>
      </c>
      <c r="E16">
        <v>3.4502999999999999</v>
      </c>
    </row>
    <row r="17" spans="2:5" x14ac:dyDescent="0.3">
      <c r="B17">
        <v>120</v>
      </c>
      <c r="C17">
        <f t="shared" si="0"/>
        <v>222.55163085490514</v>
      </c>
      <c r="E17">
        <v>3.4561999999999999</v>
      </c>
    </row>
    <row r="18" spans="2:5" x14ac:dyDescent="0.3">
      <c r="B18">
        <v>121</v>
      </c>
      <c r="C18">
        <f t="shared" si="0"/>
        <v>222.87297118954379</v>
      </c>
      <c r="E18">
        <v>3.4622000000000002</v>
      </c>
    </row>
    <row r="19" spans="2:5" x14ac:dyDescent="0.3">
      <c r="B19">
        <v>122</v>
      </c>
      <c r="C19">
        <f t="shared" si="0"/>
        <v>223.1948869704521</v>
      </c>
      <c r="E19">
        <v>3.4683999999999999</v>
      </c>
    </row>
    <row r="20" spans="2:5" x14ac:dyDescent="0.3">
      <c r="B20">
        <v>123</v>
      </c>
      <c r="C20">
        <f t="shared" si="0"/>
        <v>223.51739676041294</v>
      </c>
      <c r="E20">
        <v>3.4748000000000001</v>
      </c>
    </row>
    <row r="21" spans="2:5" x14ac:dyDescent="0.3">
      <c r="B21">
        <v>124</v>
      </c>
      <c r="C21">
        <f t="shared" si="0"/>
        <v>223.84050984081776</v>
      </c>
      <c r="E21">
        <v>3.4813000000000001</v>
      </c>
    </row>
    <row r="22" spans="2:5" x14ac:dyDescent="0.3">
      <c r="B22">
        <v>125</v>
      </c>
      <c r="C22">
        <f t="shared" si="0"/>
        <v>224.16424477444946</v>
      </c>
      <c r="E22">
        <v>3.488</v>
      </c>
    </row>
    <row r="23" spans="2:5" x14ac:dyDescent="0.3">
      <c r="B23">
        <v>126</v>
      </c>
      <c r="C23">
        <f t="shared" si="0"/>
        <v>224.48862012409091</v>
      </c>
      <c r="E23">
        <v>3.4948999999999999</v>
      </c>
    </row>
    <row r="24" spans="2:5" x14ac:dyDescent="0.3">
      <c r="B24">
        <v>127</v>
      </c>
      <c r="C24">
        <f t="shared" si="0"/>
        <v>224.81365445252504</v>
      </c>
      <c r="E24">
        <v>3.5019999999999998</v>
      </c>
    </row>
    <row r="25" spans="2:5" x14ac:dyDescent="0.3">
      <c r="B25">
        <v>128</v>
      </c>
      <c r="C25">
        <f t="shared" si="0"/>
        <v>225.13935704114326</v>
      </c>
      <c r="E25">
        <v>3.5091999999999999</v>
      </c>
    </row>
    <row r="26" spans="2:5" x14ac:dyDescent="0.3">
      <c r="B26">
        <v>129</v>
      </c>
      <c r="C26">
        <f t="shared" si="0"/>
        <v>225.46575573411991</v>
      </c>
      <c r="E26">
        <v>3.5167000000000002</v>
      </c>
    </row>
    <row r="27" spans="2:5" x14ac:dyDescent="0.3">
      <c r="B27">
        <v>130</v>
      </c>
      <c r="C27">
        <f t="shared" si="0"/>
        <v>225.79286909423789</v>
      </c>
      <c r="E27">
        <v>3.5244</v>
      </c>
    </row>
    <row r="28" spans="2:5" x14ac:dyDescent="0.3">
      <c r="B28">
        <v>131</v>
      </c>
      <c r="C28">
        <f t="shared" si="0"/>
        <v>226.1207156842801</v>
      </c>
      <c r="E28">
        <v>3.5323000000000002</v>
      </c>
    </row>
    <row r="29" spans="2:5" x14ac:dyDescent="0.3">
      <c r="B29">
        <v>132</v>
      </c>
      <c r="C29">
        <f t="shared" si="0"/>
        <v>226.44932334842088</v>
      </c>
      <c r="E29">
        <v>3.5405000000000002</v>
      </c>
    </row>
    <row r="30" spans="2:5" x14ac:dyDescent="0.3">
      <c r="B30">
        <v>133</v>
      </c>
      <c r="C30">
        <f t="shared" si="0"/>
        <v>226.7787106494431</v>
      </c>
      <c r="E30">
        <v>3.5489000000000002</v>
      </c>
    </row>
    <row r="31" spans="2:5" x14ac:dyDescent="0.3">
      <c r="B31">
        <v>134</v>
      </c>
      <c r="C31">
        <f t="shared" si="0"/>
        <v>227.10889615012968</v>
      </c>
      <c r="E31">
        <v>3.5575000000000001</v>
      </c>
    </row>
    <row r="32" spans="2:5" x14ac:dyDescent="0.3">
      <c r="B32">
        <v>135</v>
      </c>
      <c r="C32">
        <f t="shared" si="0"/>
        <v>227.43990769465492</v>
      </c>
      <c r="E32">
        <v>3.5663999999999998</v>
      </c>
    </row>
    <row r="33" spans="2:5" x14ac:dyDescent="0.3">
      <c r="B33">
        <v>136</v>
      </c>
      <c r="C33">
        <f t="shared" si="0"/>
        <v>227.7717731271932</v>
      </c>
      <c r="E33">
        <v>3.5756000000000001</v>
      </c>
    </row>
    <row r="34" spans="2:5" x14ac:dyDescent="0.3">
      <c r="B34">
        <v>137</v>
      </c>
      <c r="C34">
        <f t="shared" si="0"/>
        <v>228.10452029191882</v>
      </c>
      <c r="E34">
        <v>3.5851000000000002</v>
      </c>
    </row>
    <row r="35" spans="2:5" x14ac:dyDescent="0.3">
      <c r="B35">
        <v>138</v>
      </c>
      <c r="C35">
        <f t="shared" si="0"/>
        <v>228.43816775161469</v>
      </c>
      <c r="E35">
        <v>3.5948000000000002</v>
      </c>
    </row>
    <row r="36" spans="2:5" x14ac:dyDescent="0.3">
      <c r="B36">
        <v>139</v>
      </c>
      <c r="C36">
        <f t="shared" si="0"/>
        <v>228.7727526318466</v>
      </c>
      <c r="E36">
        <v>3.6049000000000002</v>
      </c>
    </row>
    <row r="37" spans="2:5" x14ac:dyDescent="0.3">
      <c r="B37">
        <v>140</v>
      </c>
      <c r="C37">
        <f t="shared" si="0"/>
        <v>229.10831205818033</v>
      </c>
      <c r="E37">
        <v>3.6154000000000002</v>
      </c>
    </row>
    <row r="38" spans="2:5" x14ac:dyDescent="0.3">
      <c r="B38">
        <v>141</v>
      </c>
      <c r="C38">
        <f t="shared" si="0"/>
        <v>229.44486459339876</v>
      </c>
      <c r="E38">
        <v>3.6261000000000001</v>
      </c>
    </row>
    <row r="39" spans="2:5" x14ac:dyDescent="0.3">
      <c r="B39">
        <v>142</v>
      </c>
      <c r="C39">
        <f t="shared" si="0"/>
        <v>229.78244736306769</v>
      </c>
      <c r="E39">
        <v>3.6372</v>
      </c>
    </row>
    <row r="40" spans="2:5" x14ac:dyDescent="0.3">
      <c r="B40">
        <v>143</v>
      </c>
      <c r="C40">
        <f t="shared" si="0"/>
        <v>230.12110677414432</v>
      </c>
      <c r="E40">
        <v>3.6488</v>
      </c>
    </row>
    <row r="41" spans="2:5" x14ac:dyDescent="0.3">
      <c r="B41">
        <v>144</v>
      </c>
      <c r="C41">
        <f t="shared" si="0"/>
        <v>230.46087067080302</v>
      </c>
      <c r="E41">
        <v>3.6606999999999998</v>
      </c>
    </row>
    <row r="42" spans="2:5" x14ac:dyDescent="0.3">
      <c r="B42">
        <v>145</v>
      </c>
      <c r="C42">
        <f t="shared" si="0"/>
        <v>230.80177617860957</v>
      </c>
      <c r="E42">
        <v>3.673</v>
      </c>
    </row>
    <row r="43" spans="2:5" x14ac:dyDescent="0.3">
      <c r="B43">
        <v>146</v>
      </c>
      <c r="C43">
        <f t="shared" si="0"/>
        <v>231.14386042312972</v>
      </c>
      <c r="E43">
        <v>3.6857000000000002</v>
      </c>
    </row>
    <row r="44" spans="2:5" x14ac:dyDescent="0.3">
      <c r="B44">
        <v>147</v>
      </c>
      <c r="C44">
        <f t="shared" si="0"/>
        <v>231.48716981132074</v>
      </c>
      <c r="E44">
        <v>3.6989000000000001</v>
      </c>
    </row>
    <row r="45" spans="2:5" x14ac:dyDescent="0.3">
      <c r="B45">
        <v>148</v>
      </c>
      <c r="C45">
        <f t="shared" si="0"/>
        <v>231.83175075013983</v>
      </c>
      <c r="E45">
        <v>3.7126000000000001</v>
      </c>
    </row>
    <row r="46" spans="2:5" x14ac:dyDescent="0.3">
      <c r="B46">
        <v>149</v>
      </c>
      <c r="C46">
        <f t="shared" si="0"/>
        <v>232.17764964654424</v>
      </c>
      <c r="E46">
        <v>3.7267999999999999</v>
      </c>
    </row>
    <row r="47" spans="2:5" x14ac:dyDescent="0.3">
      <c r="B47">
        <v>150</v>
      </c>
      <c r="C47">
        <f t="shared" si="0"/>
        <v>232.52492218888264</v>
      </c>
      <c r="E47">
        <v>3.7416</v>
      </c>
    </row>
    <row r="48" spans="2:5" x14ac:dyDescent="0.3">
      <c r="B48">
        <v>151</v>
      </c>
      <c r="C48">
        <f t="shared" si="0"/>
        <v>232.87360550272081</v>
      </c>
      <c r="E48">
        <v>3.7568000000000001</v>
      </c>
    </row>
    <row r="49" spans="2:5" x14ac:dyDescent="0.3">
      <c r="B49">
        <v>152</v>
      </c>
      <c r="C49">
        <f t="shared" si="0"/>
        <v>233.22376455779886</v>
      </c>
      <c r="E49">
        <v>3.7726999999999999</v>
      </c>
    </row>
    <row r="50" spans="2:5" x14ac:dyDescent="0.3">
      <c r="B50">
        <v>153</v>
      </c>
      <c r="C50">
        <f t="shared" si="0"/>
        <v>233.57545504246548</v>
      </c>
      <c r="E50">
        <v>3.7892000000000001</v>
      </c>
    </row>
    <row r="51" spans="2:5" x14ac:dyDescent="0.3">
      <c r="B51">
        <v>154</v>
      </c>
      <c r="C51">
        <f t="shared" si="0"/>
        <v>233.92873264506935</v>
      </c>
      <c r="E51">
        <v>3.8062999999999998</v>
      </c>
    </row>
    <row r="52" spans="2:5" x14ac:dyDescent="0.3">
      <c r="B52">
        <v>155</v>
      </c>
      <c r="C52">
        <f t="shared" si="0"/>
        <v>234.28367161674203</v>
      </c>
      <c r="E52">
        <v>3.8241999999999998</v>
      </c>
    </row>
    <row r="53" spans="2:5" x14ac:dyDescent="0.3">
      <c r="B53">
        <v>156</v>
      </c>
      <c r="C53">
        <f t="shared" si="0"/>
        <v>234.6403276458322</v>
      </c>
      <c r="E53">
        <v>3.8426999999999998</v>
      </c>
    </row>
    <row r="54" spans="2:5" x14ac:dyDescent="0.3">
      <c r="B54">
        <v>157</v>
      </c>
      <c r="C54">
        <f t="shared" si="0"/>
        <v>234.99878426486288</v>
      </c>
      <c r="E54">
        <v>3.8620999999999999</v>
      </c>
    </row>
    <row r="55" spans="2:5" x14ac:dyDescent="0.3">
      <c r="B55">
        <v>158</v>
      </c>
      <c r="C55">
        <f t="shared" si="0"/>
        <v>235.35910644357415</v>
      </c>
      <c r="E55">
        <v>3.8822000000000001</v>
      </c>
    </row>
    <row r="56" spans="2:5" x14ac:dyDescent="0.3">
      <c r="B56">
        <v>159</v>
      </c>
      <c r="C56">
        <f t="shared" si="0"/>
        <v>235.72137771448905</v>
      </c>
      <c r="E56">
        <v>3.9032</v>
      </c>
    </row>
    <row r="57" spans="2:5" x14ac:dyDescent="0.3">
      <c r="B57">
        <v>160</v>
      </c>
      <c r="C57">
        <f t="shared" si="0"/>
        <v>236.08569089152206</v>
      </c>
      <c r="E57">
        <v>3.9251999999999998</v>
      </c>
    </row>
    <row r="58" spans="2:5" x14ac:dyDescent="0.3">
      <c r="B58">
        <v>161</v>
      </c>
      <c r="C58">
        <f t="shared" si="0"/>
        <v>236.45212950719616</v>
      </c>
      <c r="E58">
        <v>3.9481000000000002</v>
      </c>
    </row>
    <row r="59" spans="2:5" x14ac:dyDescent="0.3">
      <c r="B59">
        <v>162</v>
      </c>
      <c r="C59">
        <f t="shared" si="0"/>
        <v>236.82078637542583</v>
      </c>
      <c r="E59">
        <v>3.972</v>
      </c>
    </row>
    <row r="60" spans="2:5" x14ac:dyDescent="0.3">
      <c r="B60">
        <v>163</v>
      </c>
      <c r="C60">
        <f t="shared" si="0"/>
        <v>237.19177287290842</v>
      </c>
      <c r="E60">
        <v>3.9971000000000001</v>
      </c>
    </row>
    <row r="61" spans="2:5" x14ac:dyDescent="0.3">
      <c r="B61">
        <v>164</v>
      </c>
      <c r="C61">
        <f t="shared" si="0"/>
        <v>237.56520037634127</v>
      </c>
      <c r="E61">
        <v>4.0233999999999996</v>
      </c>
    </row>
    <row r="62" spans="2:5" x14ac:dyDescent="0.3">
      <c r="B62">
        <v>165</v>
      </c>
      <c r="C62">
        <f t="shared" si="0"/>
        <v>237.94118026242171</v>
      </c>
      <c r="E62">
        <v>4.0509000000000004</v>
      </c>
    </row>
    <row r="63" spans="2:5" x14ac:dyDescent="0.3">
      <c r="B63">
        <v>166</v>
      </c>
      <c r="C63">
        <f t="shared" si="0"/>
        <v>238.31984247063002</v>
      </c>
      <c r="E63">
        <v>4.0797999999999996</v>
      </c>
    </row>
    <row r="64" spans="2:5" x14ac:dyDescent="0.3">
      <c r="B64">
        <v>167</v>
      </c>
      <c r="C64">
        <f t="shared" si="0"/>
        <v>238.70132622183786</v>
      </c>
      <c r="E64">
        <v>4.1101999999999999</v>
      </c>
    </row>
    <row r="65" spans="2:5" x14ac:dyDescent="0.3">
      <c r="B65">
        <v>168</v>
      </c>
      <c r="C65">
        <f t="shared" si="0"/>
        <v>239.08577073691694</v>
      </c>
      <c r="E65">
        <v>4.1421000000000001</v>
      </c>
    </row>
    <row r="66" spans="2:5" x14ac:dyDescent="0.3">
      <c r="B66">
        <v>169</v>
      </c>
      <c r="C66">
        <f t="shared" si="0"/>
        <v>239.47333379952184</v>
      </c>
      <c r="E66">
        <v>4.1757</v>
      </c>
    </row>
    <row r="67" spans="2:5" x14ac:dyDescent="0.3">
      <c r="B67">
        <v>170</v>
      </c>
      <c r="C67">
        <f t="shared" si="0"/>
        <v>239.86419175609001</v>
      </c>
      <c r="E67">
        <v>4.2111999999999998</v>
      </c>
    </row>
    <row r="68" spans="2:5" x14ac:dyDescent="0.3">
      <c r="B68">
        <v>171</v>
      </c>
      <c r="C68">
        <f t="shared" si="0"/>
        <v>240.25852095305893</v>
      </c>
      <c r="E68">
        <v>4.2485999999999997</v>
      </c>
    </row>
    <row r="69" spans="2:5" x14ac:dyDescent="0.3">
      <c r="B69">
        <v>172</v>
      </c>
      <c r="C69">
        <f t="shared" si="0"/>
        <v>240.65652558104043</v>
      </c>
      <c r="E69">
        <v>4.2881999999999998</v>
      </c>
    </row>
    <row r="70" spans="2:5" x14ac:dyDescent="0.3">
      <c r="B70">
        <v>173</v>
      </c>
      <c r="C70">
        <f t="shared" si="0"/>
        <v>241.05841911203774</v>
      </c>
      <c r="E70">
        <v>4.3300999999999998</v>
      </c>
    </row>
    <row r="71" spans="2:5" x14ac:dyDescent="0.3">
      <c r="B71">
        <v>174</v>
      </c>
      <c r="C71">
        <f t="shared" si="0"/>
        <v>241.46444286222845</v>
      </c>
      <c r="E71">
        <v>4.3746</v>
      </c>
    </row>
    <row r="72" spans="2:5" x14ac:dyDescent="0.3">
      <c r="B72">
        <v>175</v>
      </c>
      <c r="C72">
        <f t="shared" si="0"/>
        <v>241.87484742918161</v>
      </c>
      <c r="E72">
        <v>4.4218000000000002</v>
      </c>
    </row>
    <row r="73" spans="2:5" x14ac:dyDescent="0.3">
      <c r="B73">
        <v>176</v>
      </c>
      <c r="C73">
        <f t="shared" si="0"/>
        <v>242.28992053603204</v>
      </c>
      <c r="E73">
        <v>4.4721000000000002</v>
      </c>
    </row>
    <row r="74" spans="2:5" x14ac:dyDescent="0.3">
      <c r="B74">
        <v>177</v>
      </c>
      <c r="C74">
        <f t="shared" si="0"/>
        <v>242.70996846869747</v>
      </c>
      <c r="E74">
        <v>4.5256999999999996</v>
      </c>
    </row>
    <row r="75" spans="2:5" x14ac:dyDescent="0.3">
      <c r="B75">
        <v>178</v>
      </c>
      <c r="C75">
        <f t="shared" ref="C75:C138" si="1">C74+(E75*1000*$F$6*(B75-B74))/($F$4*$H$4)</f>
        <v>243.1353439200528</v>
      </c>
      <c r="E75">
        <v>4.5831</v>
      </c>
    </row>
    <row r="76" spans="2:5" x14ac:dyDescent="0.3">
      <c r="B76">
        <v>179</v>
      </c>
      <c r="C76">
        <f t="shared" si="1"/>
        <v>243.5664181457559</v>
      </c>
      <c r="E76">
        <v>4.6444999999999999</v>
      </c>
    </row>
    <row r="77" spans="2:5" x14ac:dyDescent="0.3">
      <c r="B77">
        <v>180</v>
      </c>
      <c r="C77">
        <f t="shared" si="1"/>
        <v>244.00361808981327</v>
      </c>
      <c r="E77">
        <v>4.7104999999999997</v>
      </c>
    </row>
    <row r="78" spans="2:5" x14ac:dyDescent="0.3">
      <c r="B78">
        <v>181</v>
      </c>
      <c r="C78">
        <f t="shared" si="1"/>
        <v>244.44741710318866</v>
      </c>
      <c r="E78">
        <v>4.7816000000000001</v>
      </c>
    </row>
    <row r="79" spans="2:5" x14ac:dyDescent="0.3">
      <c r="B79">
        <v>182</v>
      </c>
      <c r="C79">
        <f t="shared" si="1"/>
        <v>244.89833494380301</v>
      </c>
      <c r="E79">
        <v>4.8582999999999998</v>
      </c>
    </row>
    <row r="80" spans="2:5" x14ac:dyDescent="0.3">
      <c r="B80">
        <v>183</v>
      </c>
      <c r="C80">
        <f t="shared" si="1"/>
        <v>245.35696562070888</v>
      </c>
      <c r="E80">
        <v>4.9413999999999998</v>
      </c>
    </row>
    <row r="81" spans="2:5" x14ac:dyDescent="0.3">
      <c r="B81">
        <v>184</v>
      </c>
      <c r="C81">
        <f t="shared" si="1"/>
        <v>245.82397739409035</v>
      </c>
      <c r="E81">
        <v>5.0316999999999998</v>
      </c>
    </row>
    <row r="82" spans="2:5" x14ac:dyDescent="0.3">
      <c r="B82">
        <v>185</v>
      </c>
      <c r="C82">
        <f t="shared" si="1"/>
        <v>246.30013133804601</v>
      </c>
      <c r="E82">
        <v>5.1302000000000003</v>
      </c>
    </row>
    <row r="83" spans="2:5" x14ac:dyDescent="0.3">
      <c r="B83">
        <v>186</v>
      </c>
      <c r="C83">
        <f t="shared" si="1"/>
        <v>246.7862906219803</v>
      </c>
      <c r="E83">
        <v>5.2380000000000004</v>
      </c>
    </row>
    <row r="84" spans="2:5" x14ac:dyDescent="0.3">
      <c r="B84">
        <v>187</v>
      </c>
      <c r="C84">
        <f t="shared" si="1"/>
        <v>247.28345763616937</v>
      </c>
      <c r="E84">
        <v>5.3566000000000003</v>
      </c>
    </row>
    <row r="85" spans="2:5" x14ac:dyDescent="0.3">
      <c r="B85">
        <v>188</v>
      </c>
      <c r="C85">
        <f t="shared" si="1"/>
        <v>247.79277399176109</v>
      </c>
      <c r="E85">
        <v>5.4874999999999998</v>
      </c>
    </row>
    <row r="86" spans="2:5" x14ac:dyDescent="0.3">
      <c r="B86">
        <v>189</v>
      </c>
      <c r="C86">
        <f t="shared" si="1"/>
        <v>248.31557620912366</v>
      </c>
      <c r="E86">
        <v>5.6327999999999996</v>
      </c>
    </row>
    <row r="87" spans="2:5" x14ac:dyDescent="0.3">
      <c r="B87">
        <v>190</v>
      </c>
      <c r="C87">
        <f t="shared" si="1"/>
        <v>248.85342356201997</v>
      </c>
      <c r="E87">
        <v>5.7949000000000002</v>
      </c>
    </row>
    <row r="88" spans="2:5" x14ac:dyDescent="0.3">
      <c r="B88">
        <v>191</v>
      </c>
      <c r="C88">
        <f t="shared" si="1"/>
        <v>249.40814448456484</v>
      </c>
      <c r="E88">
        <v>5.9767000000000001</v>
      </c>
    </row>
    <row r="89" spans="2:5" x14ac:dyDescent="0.3">
      <c r="B89">
        <v>192</v>
      </c>
      <c r="C89">
        <f t="shared" si="1"/>
        <v>249.98192010374808</v>
      </c>
      <c r="E89">
        <v>6.1820000000000004</v>
      </c>
    </row>
    <row r="90" spans="2:5" x14ac:dyDescent="0.3">
      <c r="B90">
        <v>193</v>
      </c>
      <c r="C90">
        <f t="shared" si="1"/>
        <v>250.57731208360875</v>
      </c>
      <c r="E90">
        <v>6.4149000000000003</v>
      </c>
    </row>
    <row r="91" spans="2:5" x14ac:dyDescent="0.3">
      <c r="B91">
        <v>194</v>
      </c>
      <c r="C91">
        <f t="shared" si="1"/>
        <v>251.19740184610683</v>
      </c>
      <c r="E91">
        <v>6.681</v>
      </c>
    </row>
    <row r="92" spans="2:5" x14ac:dyDescent="0.3">
      <c r="B92">
        <v>195</v>
      </c>
      <c r="C92">
        <f t="shared" si="1"/>
        <v>251.84586482225492</v>
      </c>
      <c r="E92">
        <v>6.9866999999999999</v>
      </c>
    </row>
    <row r="93" spans="2:5" x14ac:dyDescent="0.3">
      <c r="B93">
        <v>196</v>
      </c>
      <c r="C93">
        <f t="shared" si="1"/>
        <v>252.52705398464113</v>
      </c>
      <c r="E93">
        <v>7.3392999999999997</v>
      </c>
    </row>
    <row r="94" spans="2:5" x14ac:dyDescent="0.3">
      <c r="B94">
        <v>197</v>
      </c>
      <c r="C94">
        <f t="shared" si="1"/>
        <v>253.24608337995213</v>
      </c>
      <c r="E94">
        <v>7.7469999999999999</v>
      </c>
    </row>
    <row r="95" spans="2:5" x14ac:dyDescent="0.3">
      <c r="B95">
        <v>198</v>
      </c>
      <c r="C95">
        <f t="shared" si="1"/>
        <v>254.00883741036458</v>
      </c>
      <c r="E95">
        <v>8.2180999999999997</v>
      </c>
    </row>
    <row r="96" spans="2:5" x14ac:dyDescent="0.3">
      <c r="B96">
        <v>199</v>
      </c>
      <c r="C96">
        <f t="shared" si="1"/>
        <v>254.82175736154193</v>
      </c>
      <c r="E96">
        <v>8.7585999999999995</v>
      </c>
    </row>
    <row r="97" spans="2:5" x14ac:dyDescent="0.3">
      <c r="B97">
        <v>200</v>
      </c>
      <c r="C97">
        <f t="shared" si="1"/>
        <v>255.69137733306204</v>
      </c>
      <c r="E97">
        <v>9.3695000000000004</v>
      </c>
    </row>
    <row r="98" spans="2:5" x14ac:dyDescent="0.3">
      <c r="B98">
        <v>201</v>
      </c>
      <c r="C98">
        <f t="shared" si="1"/>
        <v>256.62313622031218</v>
      </c>
      <c r="E98">
        <v>10.039</v>
      </c>
    </row>
    <row r="99" spans="2:5" x14ac:dyDescent="0.3">
      <c r="B99">
        <v>202</v>
      </c>
      <c r="C99">
        <f t="shared" si="1"/>
        <v>257.61921515028217</v>
      </c>
      <c r="E99">
        <v>10.731999999999999</v>
      </c>
    </row>
    <row r="100" spans="2:5" x14ac:dyDescent="0.3">
      <c r="B100">
        <v>203</v>
      </c>
      <c r="C100">
        <f t="shared" si="1"/>
        <v>258.67506624116351</v>
      </c>
      <c r="E100">
        <v>11.375999999999999</v>
      </c>
    </row>
    <row r="101" spans="2:5" x14ac:dyDescent="0.3">
      <c r="B101">
        <v>204</v>
      </c>
      <c r="C101">
        <f t="shared" si="1"/>
        <v>259.77583926664283</v>
      </c>
      <c r="E101">
        <v>11.86</v>
      </c>
    </row>
    <row r="102" spans="2:5" x14ac:dyDescent="0.3">
      <c r="B102">
        <v>205</v>
      </c>
      <c r="C102">
        <f t="shared" si="1"/>
        <v>260.89684572547412</v>
      </c>
      <c r="E102" s="22">
        <v>12.077999999999999</v>
      </c>
    </row>
    <row r="103" spans="2:5" x14ac:dyDescent="0.3">
      <c r="B103">
        <v>206</v>
      </c>
      <c r="C103">
        <f t="shared" si="1"/>
        <v>262.00940611808971</v>
      </c>
      <c r="E103">
        <v>11.987</v>
      </c>
    </row>
    <row r="104" spans="2:5" x14ac:dyDescent="0.3">
      <c r="B104">
        <v>207</v>
      </c>
      <c r="C104">
        <f t="shared" si="1"/>
        <v>263.08688285103995</v>
      </c>
      <c r="E104">
        <v>11.609</v>
      </c>
    </row>
    <row r="105" spans="2:5" x14ac:dyDescent="0.3">
      <c r="B105">
        <v>208</v>
      </c>
      <c r="C105">
        <f t="shared" si="1"/>
        <v>264.10987781620292</v>
      </c>
      <c r="E105">
        <v>11.022</v>
      </c>
    </row>
    <row r="106" spans="2:5" x14ac:dyDescent="0.3">
      <c r="B106">
        <v>209</v>
      </c>
      <c r="C106">
        <f t="shared" si="1"/>
        <v>265.06901680821841</v>
      </c>
      <c r="E106">
        <v>10.334</v>
      </c>
    </row>
    <row r="107" spans="2:5" x14ac:dyDescent="0.3">
      <c r="B107">
        <v>210</v>
      </c>
      <c r="C107">
        <f t="shared" si="1"/>
        <v>265.96326031124437</v>
      </c>
      <c r="E107">
        <v>9.6348000000000003</v>
      </c>
    </row>
    <row r="108" spans="2:5" x14ac:dyDescent="0.3">
      <c r="B108">
        <v>211</v>
      </c>
      <c r="C108">
        <f t="shared" si="1"/>
        <v>266.79657147942828</v>
      </c>
      <c r="E108">
        <v>8.9783000000000008</v>
      </c>
    </row>
    <row r="109" spans="2:5" x14ac:dyDescent="0.3">
      <c r="B109">
        <v>212</v>
      </c>
      <c r="C109">
        <f t="shared" si="1"/>
        <v>267.57491824746978</v>
      </c>
      <c r="E109">
        <v>8.3861000000000008</v>
      </c>
    </row>
    <row r="110" spans="2:5" x14ac:dyDescent="0.3">
      <c r="B110">
        <v>213</v>
      </c>
      <c r="C110">
        <f t="shared" si="1"/>
        <v>268.30463052433498</v>
      </c>
      <c r="E110">
        <v>7.8620999999999999</v>
      </c>
    </row>
    <row r="111" spans="2:5" x14ac:dyDescent="0.3">
      <c r="B111">
        <v>214</v>
      </c>
      <c r="C111">
        <f t="shared" si="1"/>
        <v>268.99163911915775</v>
      </c>
      <c r="E111">
        <v>7.4020000000000001</v>
      </c>
    </row>
    <row r="112" spans="2:5" x14ac:dyDescent="0.3">
      <c r="B112">
        <v>215</v>
      </c>
      <c r="C112">
        <f t="shared" si="1"/>
        <v>269.64123442506224</v>
      </c>
      <c r="E112">
        <v>6.9988999999999999</v>
      </c>
    </row>
    <row r="113" spans="2:5" x14ac:dyDescent="0.3">
      <c r="B113">
        <v>216</v>
      </c>
      <c r="C113">
        <f t="shared" si="1"/>
        <v>270.25800144942269</v>
      </c>
      <c r="E113">
        <v>6.6452</v>
      </c>
    </row>
    <row r="114" spans="2:5" x14ac:dyDescent="0.3">
      <c r="B114">
        <v>217</v>
      </c>
      <c r="C114">
        <f t="shared" si="1"/>
        <v>270.84586622082077</v>
      </c>
      <c r="E114">
        <v>6.3338000000000001</v>
      </c>
    </row>
    <row r="115" spans="2:5" x14ac:dyDescent="0.3">
      <c r="B115">
        <v>218</v>
      </c>
      <c r="C115">
        <f t="shared" si="1"/>
        <v>271.40817932156835</v>
      </c>
      <c r="E115">
        <v>6.0585000000000004</v>
      </c>
    </row>
    <row r="116" spans="2:5" x14ac:dyDescent="0.3">
      <c r="B116">
        <v>219</v>
      </c>
      <c r="C116">
        <f t="shared" si="1"/>
        <v>271.94779942023081</v>
      </c>
      <c r="E116">
        <v>5.8140000000000001</v>
      </c>
    </row>
    <row r="117" spans="2:5" x14ac:dyDescent="0.3">
      <c r="B117">
        <v>220</v>
      </c>
      <c r="C117">
        <f t="shared" si="1"/>
        <v>272.46716752275842</v>
      </c>
      <c r="E117">
        <v>5.5957999999999997</v>
      </c>
    </row>
    <row r="118" spans="2:5" x14ac:dyDescent="0.3">
      <c r="B118">
        <v>221</v>
      </c>
      <c r="C118">
        <f t="shared" si="1"/>
        <v>272.96839050500932</v>
      </c>
      <c r="E118">
        <v>5.4002999999999997</v>
      </c>
    </row>
    <row r="119" spans="2:5" x14ac:dyDescent="0.3">
      <c r="B119">
        <v>222</v>
      </c>
      <c r="C119">
        <f t="shared" si="1"/>
        <v>273.45326895692409</v>
      </c>
      <c r="E119">
        <v>5.2241999999999997</v>
      </c>
    </row>
    <row r="120" spans="2:5" x14ac:dyDescent="0.3">
      <c r="B120">
        <v>223</v>
      </c>
      <c r="C120">
        <f t="shared" si="1"/>
        <v>273.92336215226561</v>
      </c>
      <c r="E120">
        <v>5.0648999999999997</v>
      </c>
    </row>
    <row r="121" spans="2:5" x14ac:dyDescent="0.3">
      <c r="B121">
        <v>224</v>
      </c>
      <c r="C121">
        <f t="shared" si="1"/>
        <v>274.38002517418494</v>
      </c>
      <c r="E121">
        <v>4.9202000000000004</v>
      </c>
    </row>
    <row r="122" spans="2:5" x14ac:dyDescent="0.3">
      <c r="B122">
        <v>225</v>
      </c>
      <c r="C122">
        <f t="shared" si="1"/>
        <v>274.82444604078717</v>
      </c>
      <c r="E122">
        <v>4.7882999999999996</v>
      </c>
    </row>
    <row r="123" spans="2:5" x14ac:dyDescent="0.3">
      <c r="B123">
        <v>226</v>
      </c>
      <c r="C123">
        <f t="shared" si="1"/>
        <v>275.25767354930571</v>
      </c>
      <c r="E123">
        <v>4.6677</v>
      </c>
    </row>
    <row r="124" spans="2:5" x14ac:dyDescent="0.3">
      <c r="B124">
        <v>227</v>
      </c>
      <c r="C124">
        <f t="shared" si="1"/>
        <v>275.68061727610223</v>
      </c>
      <c r="E124">
        <v>4.5568999999999997</v>
      </c>
    </row>
    <row r="125" spans="2:5" x14ac:dyDescent="0.3">
      <c r="B125">
        <v>228</v>
      </c>
      <c r="C125">
        <f t="shared" si="1"/>
        <v>276.09409398362396</v>
      </c>
      <c r="E125">
        <v>4.4549000000000003</v>
      </c>
    </row>
    <row r="126" spans="2:5" x14ac:dyDescent="0.3">
      <c r="B126">
        <v>229</v>
      </c>
      <c r="C126">
        <f t="shared" si="1"/>
        <v>276.49882762040369</v>
      </c>
      <c r="E126">
        <v>4.3606999999999996</v>
      </c>
    </row>
    <row r="127" spans="2:5" x14ac:dyDescent="0.3">
      <c r="B127">
        <v>230</v>
      </c>
      <c r="C127">
        <f t="shared" si="1"/>
        <v>276.89546788384263</v>
      </c>
      <c r="E127">
        <v>4.2735000000000003</v>
      </c>
    </row>
    <row r="128" spans="2:5" x14ac:dyDescent="0.3">
      <c r="B128">
        <v>231</v>
      </c>
      <c r="C128">
        <f t="shared" si="1"/>
        <v>277.28459022021042</v>
      </c>
      <c r="E128">
        <v>4.1924999999999999</v>
      </c>
    </row>
    <row r="129" spans="2:5" x14ac:dyDescent="0.3">
      <c r="B129">
        <v>232</v>
      </c>
      <c r="C129">
        <f t="shared" si="1"/>
        <v>277.66671438742804</v>
      </c>
      <c r="E129">
        <v>4.1170999999999998</v>
      </c>
    </row>
    <row r="130" spans="2:5" x14ac:dyDescent="0.3">
      <c r="B130">
        <v>233</v>
      </c>
      <c r="C130">
        <f t="shared" si="1"/>
        <v>278.04231373645922</v>
      </c>
      <c r="E130">
        <v>4.0468000000000002</v>
      </c>
    </row>
    <row r="131" spans="2:5" x14ac:dyDescent="0.3">
      <c r="B131">
        <v>234</v>
      </c>
      <c r="C131">
        <f t="shared" si="1"/>
        <v>278.41180592991901</v>
      </c>
      <c r="E131">
        <v>3.9809999999999999</v>
      </c>
    </row>
    <row r="132" spans="2:5" x14ac:dyDescent="0.3">
      <c r="B132">
        <v>235</v>
      </c>
      <c r="C132">
        <f t="shared" si="1"/>
        <v>278.7755900676396</v>
      </c>
      <c r="E132">
        <v>3.9195000000000002</v>
      </c>
    </row>
    <row r="133" spans="2:5" x14ac:dyDescent="0.3">
      <c r="B133">
        <v>236</v>
      </c>
      <c r="C133">
        <f t="shared" si="1"/>
        <v>279.13400956110451</v>
      </c>
      <c r="E133">
        <v>3.8616999999999999</v>
      </c>
    </row>
    <row r="134" spans="2:5" x14ac:dyDescent="0.3">
      <c r="B134">
        <v>237</v>
      </c>
      <c r="C134">
        <f t="shared" si="1"/>
        <v>279.48738925901426</v>
      </c>
      <c r="E134">
        <v>3.8073999999999999</v>
      </c>
    </row>
    <row r="135" spans="2:5" x14ac:dyDescent="0.3">
      <c r="B135">
        <v>238</v>
      </c>
      <c r="C135">
        <f t="shared" si="1"/>
        <v>279.83601688450375</v>
      </c>
      <c r="E135">
        <v>3.7562000000000002</v>
      </c>
    </row>
    <row r="136" spans="2:5" x14ac:dyDescent="0.3">
      <c r="B136">
        <v>239</v>
      </c>
      <c r="C136">
        <f t="shared" si="1"/>
        <v>280.18017087931634</v>
      </c>
      <c r="E136">
        <v>3.7080000000000002</v>
      </c>
    </row>
    <row r="137" spans="2:5" x14ac:dyDescent="0.3">
      <c r="B137">
        <v>240</v>
      </c>
      <c r="C137">
        <f t="shared" si="1"/>
        <v>280.52010184102107</v>
      </c>
      <c r="E137">
        <v>3.6625000000000001</v>
      </c>
    </row>
    <row r="138" spans="2:5" x14ac:dyDescent="0.3">
      <c r="B138">
        <v>241</v>
      </c>
      <c r="C138">
        <f t="shared" si="1"/>
        <v>280.85603252301263</v>
      </c>
      <c r="E138">
        <v>3.6194000000000002</v>
      </c>
    </row>
    <row r="139" spans="2:5" x14ac:dyDescent="0.3">
      <c r="B139">
        <v>242</v>
      </c>
      <c r="C139">
        <f t="shared" ref="C139:C180" si="2">C138+(E139*1000*$F$6*(B139-B138))/($F$4*$H$4)</f>
        <v>281.18817639729428</v>
      </c>
      <c r="E139">
        <v>3.5785999999999998</v>
      </c>
    </row>
    <row r="140" spans="2:5" x14ac:dyDescent="0.3">
      <c r="B140">
        <v>243</v>
      </c>
      <c r="C140">
        <f t="shared" si="2"/>
        <v>281.51673765447782</v>
      </c>
      <c r="E140">
        <v>3.54</v>
      </c>
    </row>
    <row r="141" spans="2:5" x14ac:dyDescent="0.3">
      <c r="B141">
        <v>244</v>
      </c>
      <c r="C141">
        <f t="shared" si="2"/>
        <v>281.84189264100075</v>
      </c>
      <c r="E141">
        <v>3.5032999999999999</v>
      </c>
    </row>
    <row r="142" spans="2:5" x14ac:dyDescent="0.3">
      <c r="B142">
        <v>245</v>
      </c>
      <c r="C142">
        <f t="shared" si="2"/>
        <v>282.16381770330048</v>
      </c>
      <c r="E142">
        <v>3.4685000000000001</v>
      </c>
    </row>
    <row r="143" spans="2:5" x14ac:dyDescent="0.3">
      <c r="B143">
        <v>246</v>
      </c>
      <c r="C143">
        <f t="shared" si="2"/>
        <v>282.48266134364019</v>
      </c>
      <c r="E143">
        <v>3.4352999999999998</v>
      </c>
    </row>
    <row r="144" spans="2:5" x14ac:dyDescent="0.3">
      <c r="B144">
        <v>247</v>
      </c>
      <c r="C144">
        <f t="shared" si="2"/>
        <v>282.79858134567445</v>
      </c>
      <c r="E144">
        <v>3.4037999999999999</v>
      </c>
    </row>
    <row r="145" spans="2:5" x14ac:dyDescent="0.3">
      <c r="B145">
        <v>248</v>
      </c>
      <c r="C145">
        <f t="shared" si="2"/>
        <v>283.11170764888351</v>
      </c>
      <c r="E145">
        <v>3.3736999999999999</v>
      </c>
    </row>
    <row r="146" spans="2:5" x14ac:dyDescent="0.3">
      <c r="B146">
        <v>249</v>
      </c>
      <c r="C146">
        <f t="shared" si="2"/>
        <v>283.42217019274761</v>
      </c>
      <c r="E146">
        <v>3.3450000000000002</v>
      </c>
    </row>
    <row r="147" spans="2:5" x14ac:dyDescent="0.3">
      <c r="B147">
        <v>250</v>
      </c>
      <c r="C147">
        <f t="shared" si="2"/>
        <v>283.73009891674701</v>
      </c>
      <c r="E147">
        <v>3.3176999999999999</v>
      </c>
    </row>
    <row r="148" spans="2:5" x14ac:dyDescent="0.3">
      <c r="B148">
        <v>251</v>
      </c>
      <c r="C148">
        <f t="shared" si="2"/>
        <v>284.03559591618756</v>
      </c>
      <c r="E148">
        <v>3.2915000000000001</v>
      </c>
    </row>
    <row r="149" spans="2:5" x14ac:dyDescent="0.3">
      <c r="B149">
        <v>252</v>
      </c>
      <c r="C149">
        <f t="shared" si="2"/>
        <v>284.33878184915812</v>
      </c>
      <c r="E149">
        <v>3.2665999999999999</v>
      </c>
    </row>
    <row r="150" spans="2:5" x14ac:dyDescent="0.3">
      <c r="B150">
        <v>253</v>
      </c>
      <c r="C150">
        <f t="shared" si="2"/>
        <v>284.63974952957312</v>
      </c>
      <c r="E150">
        <v>3.2427000000000001</v>
      </c>
    </row>
    <row r="151" spans="2:5" x14ac:dyDescent="0.3">
      <c r="B151">
        <v>254</v>
      </c>
      <c r="C151">
        <f t="shared" si="2"/>
        <v>284.93859177134703</v>
      </c>
      <c r="E151">
        <v>3.2198000000000002</v>
      </c>
    </row>
    <row r="152" spans="2:5" x14ac:dyDescent="0.3">
      <c r="B152">
        <v>255</v>
      </c>
      <c r="C152">
        <f t="shared" si="2"/>
        <v>285.23540138839428</v>
      </c>
      <c r="E152">
        <v>3.1979000000000002</v>
      </c>
    </row>
    <row r="153" spans="2:5" x14ac:dyDescent="0.3">
      <c r="B153">
        <v>256</v>
      </c>
      <c r="C153">
        <f t="shared" si="2"/>
        <v>285.53026191323789</v>
      </c>
      <c r="E153">
        <v>3.1768999999999998</v>
      </c>
    </row>
    <row r="154" spans="2:5" x14ac:dyDescent="0.3">
      <c r="B154">
        <v>257</v>
      </c>
      <c r="C154">
        <f t="shared" si="2"/>
        <v>285.82324759700947</v>
      </c>
      <c r="E154">
        <v>3.1566999999999998</v>
      </c>
    </row>
    <row r="155" spans="2:5" x14ac:dyDescent="0.3">
      <c r="B155">
        <v>258</v>
      </c>
      <c r="C155">
        <f t="shared" si="2"/>
        <v>286.11444197223199</v>
      </c>
      <c r="E155">
        <v>3.1374</v>
      </c>
    </row>
    <row r="156" spans="2:5" x14ac:dyDescent="0.3">
      <c r="B156">
        <v>259</v>
      </c>
      <c r="C156">
        <f t="shared" si="2"/>
        <v>286.40391929003698</v>
      </c>
      <c r="E156">
        <v>3.1189</v>
      </c>
    </row>
    <row r="157" spans="2:5" x14ac:dyDescent="0.3">
      <c r="B157">
        <v>260</v>
      </c>
      <c r="C157">
        <f t="shared" si="2"/>
        <v>286.6917445201646</v>
      </c>
      <c r="E157">
        <v>3.1011000000000002</v>
      </c>
    </row>
    <row r="158" spans="2:5" x14ac:dyDescent="0.3">
      <c r="B158">
        <v>261</v>
      </c>
      <c r="C158">
        <f t="shared" si="2"/>
        <v>286.97797335096357</v>
      </c>
      <c r="E158">
        <v>3.0838999999999999</v>
      </c>
    </row>
    <row r="159" spans="2:5" x14ac:dyDescent="0.3">
      <c r="B159">
        <v>262</v>
      </c>
      <c r="C159">
        <f t="shared" si="2"/>
        <v>287.2626800335654</v>
      </c>
      <c r="E159">
        <v>3.0674999999999999</v>
      </c>
    </row>
    <row r="160" spans="2:5" x14ac:dyDescent="0.3">
      <c r="B160">
        <v>263</v>
      </c>
      <c r="C160">
        <f t="shared" si="2"/>
        <v>287.54592025631882</v>
      </c>
      <c r="E160">
        <v>3.0516999999999999</v>
      </c>
    </row>
    <row r="161" spans="2:5" x14ac:dyDescent="0.3">
      <c r="B161">
        <v>264</v>
      </c>
      <c r="C161">
        <f t="shared" si="2"/>
        <v>287.82774970757242</v>
      </c>
      <c r="E161">
        <v>3.0365000000000002</v>
      </c>
    </row>
    <row r="162" spans="2:5" x14ac:dyDescent="0.3">
      <c r="B162">
        <v>265</v>
      </c>
      <c r="C162">
        <f t="shared" si="2"/>
        <v>288.10821479428353</v>
      </c>
      <c r="E162">
        <v>3.0217999999999998</v>
      </c>
    </row>
    <row r="163" spans="2:5" x14ac:dyDescent="0.3">
      <c r="B163">
        <v>266</v>
      </c>
      <c r="C163">
        <f t="shared" si="2"/>
        <v>288.38737120480073</v>
      </c>
      <c r="E163">
        <v>3.0076999999999998</v>
      </c>
    </row>
    <row r="164" spans="2:5" x14ac:dyDescent="0.3">
      <c r="B164">
        <v>267</v>
      </c>
      <c r="C164">
        <f t="shared" si="2"/>
        <v>288.6652653460813</v>
      </c>
      <c r="E164">
        <v>2.9941</v>
      </c>
    </row>
    <row r="165" spans="2:5" x14ac:dyDescent="0.3">
      <c r="B165">
        <v>268</v>
      </c>
      <c r="C165">
        <f t="shared" si="2"/>
        <v>288.94195290647389</v>
      </c>
      <c r="E165">
        <v>2.9811000000000001</v>
      </c>
    </row>
    <row r="166" spans="2:5" x14ac:dyDescent="0.3">
      <c r="B166">
        <v>269</v>
      </c>
      <c r="C166">
        <f t="shared" si="2"/>
        <v>289.21747101154432</v>
      </c>
      <c r="E166">
        <v>2.9685000000000001</v>
      </c>
    </row>
    <row r="167" spans="2:5" x14ac:dyDescent="0.3">
      <c r="B167">
        <v>270</v>
      </c>
      <c r="C167">
        <f t="shared" si="2"/>
        <v>289.49185678685836</v>
      </c>
      <c r="E167">
        <v>2.9563000000000001</v>
      </c>
    </row>
    <row r="168" spans="2:5" x14ac:dyDescent="0.3">
      <c r="B168">
        <v>271</v>
      </c>
      <c r="C168">
        <f t="shared" si="2"/>
        <v>289.76515663937323</v>
      </c>
      <c r="E168">
        <v>2.9445999999999999</v>
      </c>
    </row>
    <row r="169" spans="2:5" x14ac:dyDescent="0.3">
      <c r="B169">
        <v>272</v>
      </c>
      <c r="C169">
        <f t="shared" si="2"/>
        <v>290.03740769465475</v>
      </c>
      <c r="E169">
        <v>2.9333</v>
      </c>
    </row>
    <row r="170" spans="2:5" x14ac:dyDescent="0.3">
      <c r="B170">
        <v>273</v>
      </c>
      <c r="C170">
        <f t="shared" si="2"/>
        <v>290.30864707826862</v>
      </c>
      <c r="E170">
        <v>2.9224000000000001</v>
      </c>
    </row>
    <row r="171" spans="2:5" x14ac:dyDescent="0.3">
      <c r="B171">
        <v>274</v>
      </c>
      <c r="C171">
        <f t="shared" si="2"/>
        <v>290.57891191578068</v>
      </c>
      <c r="E171">
        <v>2.9119000000000002</v>
      </c>
    </row>
    <row r="172" spans="2:5" x14ac:dyDescent="0.3">
      <c r="B172">
        <v>275</v>
      </c>
      <c r="C172">
        <f t="shared" si="2"/>
        <v>290.84823933275675</v>
      </c>
      <c r="E172">
        <v>2.9018000000000002</v>
      </c>
    </row>
    <row r="173" spans="2:5" x14ac:dyDescent="0.3">
      <c r="B173">
        <v>276</v>
      </c>
      <c r="C173">
        <f t="shared" si="2"/>
        <v>291.1166571733711</v>
      </c>
      <c r="E173">
        <v>2.8919999999999999</v>
      </c>
    </row>
    <row r="174" spans="2:5" x14ac:dyDescent="0.3">
      <c r="B174">
        <v>277</v>
      </c>
      <c r="C174">
        <f t="shared" si="2"/>
        <v>291.38420256318955</v>
      </c>
      <c r="E174">
        <v>2.8826000000000001</v>
      </c>
    </row>
    <row r="175" spans="2:5" x14ac:dyDescent="0.3">
      <c r="B175">
        <v>278</v>
      </c>
      <c r="C175">
        <f t="shared" si="2"/>
        <v>291.65090334638643</v>
      </c>
      <c r="E175">
        <v>2.8734999999999999</v>
      </c>
    </row>
    <row r="176" spans="2:5" x14ac:dyDescent="0.3">
      <c r="B176">
        <v>279</v>
      </c>
      <c r="C176">
        <f t="shared" si="2"/>
        <v>291.91678736713607</v>
      </c>
      <c r="E176">
        <v>2.8647</v>
      </c>
    </row>
    <row r="177" spans="2:5" x14ac:dyDescent="0.3">
      <c r="B177">
        <v>280</v>
      </c>
      <c r="C177">
        <f t="shared" si="2"/>
        <v>292.18188246961279</v>
      </c>
      <c r="E177">
        <v>2.8561999999999999</v>
      </c>
    </row>
    <row r="178" spans="2:5" x14ac:dyDescent="0.3">
      <c r="B178">
        <v>281</v>
      </c>
      <c r="C178">
        <f t="shared" si="2"/>
        <v>292.44622577938242</v>
      </c>
      <c r="E178">
        <v>2.8481000000000001</v>
      </c>
    </row>
    <row r="179" spans="2:5" x14ac:dyDescent="0.3">
      <c r="B179">
        <v>282</v>
      </c>
      <c r="C179">
        <f t="shared" si="2"/>
        <v>292.70983585922784</v>
      </c>
      <c r="E179">
        <v>2.8401999999999998</v>
      </c>
    </row>
    <row r="180" spans="2:5" x14ac:dyDescent="0.3">
      <c r="B180">
        <v>283</v>
      </c>
      <c r="C180">
        <f t="shared" si="2"/>
        <v>292.97273127193188</v>
      </c>
      <c r="E180">
        <v>2.8325</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D49AE-3D38-434B-BA2C-BEB95D47926E}">
  <dimension ref="A1:O174"/>
  <sheetViews>
    <sheetView zoomScale="75" workbookViewId="0">
      <selection activeCell="D4" sqref="D4"/>
    </sheetView>
  </sheetViews>
  <sheetFormatPr defaultRowHeight="16.5" x14ac:dyDescent="0.3"/>
  <cols>
    <col min="1" max="1" width="12.625" bestFit="1" customWidth="1"/>
    <col min="2" max="3" width="8.875" bestFit="1" customWidth="1"/>
    <col min="4" max="4" width="13.25" bestFit="1" customWidth="1"/>
    <col min="5" max="5" width="13.625" bestFit="1" customWidth="1"/>
    <col min="7" max="7" width="8.875" bestFit="1" customWidth="1"/>
    <col min="9" max="9" width="8.875" bestFit="1" customWidth="1"/>
  </cols>
  <sheetData>
    <row r="1" spans="1:6" x14ac:dyDescent="0.3">
      <c r="A1" t="s">
        <v>34</v>
      </c>
      <c r="B1" t="s">
        <v>35</v>
      </c>
      <c r="C1" t="s">
        <v>36</v>
      </c>
      <c r="D1" t="s">
        <v>37</v>
      </c>
      <c r="E1" t="s">
        <v>38</v>
      </c>
      <c r="F1" t="s">
        <v>105</v>
      </c>
    </row>
    <row r="2" spans="1:6" x14ac:dyDescent="0.3">
      <c r="A2" t="s">
        <v>39</v>
      </c>
      <c r="B2" t="s">
        <v>40</v>
      </c>
      <c r="C2" t="s">
        <v>41</v>
      </c>
      <c r="D2" t="s">
        <v>42</v>
      </c>
      <c r="E2" t="s">
        <v>43</v>
      </c>
    </row>
    <row r="3" spans="1:6" x14ac:dyDescent="0.3">
      <c r="A3">
        <v>112</v>
      </c>
      <c r="B3">
        <v>428.04</v>
      </c>
      <c r="C3">
        <v>3.4127000000000001</v>
      </c>
      <c r="D3">
        <v>0.19073000000000001</v>
      </c>
      <c r="E3">
        <v>1.2718000000000001E-4</v>
      </c>
      <c r="F3">
        <v>2.2755999999999998</v>
      </c>
    </row>
    <row r="4" spans="1:6" x14ac:dyDescent="0.3">
      <c r="A4">
        <v>113</v>
      </c>
      <c r="B4">
        <v>426.68</v>
      </c>
      <c r="C4">
        <v>3.4177</v>
      </c>
      <c r="D4">
        <v>0.18940000000000001</v>
      </c>
      <c r="E4">
        <v>1.2454E-4</v>
      </c>
      <c r="F4">
        <v>2.2473000000000001</v>
      </c>
    </row>
    <row r="5" spans="1:6" x14ac:dyDescent="0.3">
      <c r="A5">
        <v>114</v>
      </c>
      <c r="B5">
        <v>425.31</v>
      </c>
      <c r="C5">
        <v>3.4228000000000001</v>
      </c>
      <c r="D5">
        <v>0.18806999999999999</v>
      </c>
      <c r="E5">
        <v>1.2197999999999999E-4</v>
      </c>
      <c r="F5">
        <v>2.2201</v>
      </c>
    </row>
    <row r="6" spans="1:6" x14ac:dyDescent="0.3">
      <c r="A6">
        <v>115</v>
      </c>
      <c r="B6">
        <v>423.93</v>
      </c>
      <c r="C6">
        <v>3.4281000000000001</v>
      </c>
      <c r="D6">
        <v>0.18673000000000001</v>
      </c>
      <c r="E6">
        <v>1.1951E-4</v>
      </c>
      <c r="F6">
        <v>2.194</v>
      </c>
    </row>
    <row r="7" spans="1:6" x14ac:dyDescent="0.3">
      <c r="A7">
        <v>116</v>
      </c>
      <c r="B7">
        <v>422.56</v>
      </c>
      <c r="C7">
        <v>3.4333999999999998</v>
      </c>
      <c r="D7">
        <v>0.18539</v>
      </c>
      <c r="E7">
        <v>1.1711E-4</v>
      </c>
      <c r="F7">
        <v>2.1688000000000001</v>
      </c>
    </row>
    <row r="8" spans="1:6" x14ac:dyDescent="0.3">
      <c r="A8">
        <v>117</v>
      </c>
      <c r="B8">
        <v>421.17</v>
      </c>
      <c r="C8">
        <v>3.4388999999999998</v>
      </c>
      <c r="D8">
        <v>0.18404999999999999</v>
      </c>
      <c r="E8">
        <v>1.1477E-4</v>
      </c>
      <c r="F8">
        <v>2.1444999999999999</v>
      </c>
    </row>
    <row r="9" spans="1:6" x14ac:dyDescent="0.3">
      <c r="A9">
        <v>118</v>
      </c>
      <c r="B9">
        <v>419.78</v>
      </c>
      <c r="C9">
        <v>3.4445000000000001</v>
      </c>
      <c r="D9">
        <v>0.18271000000000001</v>
      </c>
      <c r="E9">
        <v>1.1251000000000001E-4</v>
      </c>
      <c r="F9">
        <v>2.1211000000000002</v>
      </c>
    </row>
    <row r="10" spans="1:6" x14ac:dyDescent="0.3">
      <c r="A10">
        <v>119</v>
      </c>
      <c r="B10">
        <v>418.38</v>
      </c>
      <c r="C10">
        <v>3.4502999999999999</v>
      </c>
      <c r="D10">
        <v>0.18135999999999999</v>
      </c>
      <c r="E10">
        <v>1.1031000000000001E-4</v>
      </c>
      <c r="F10">
        <v>2.0985999999999998</v>
      </c>
    </row>
    <row r="11" spans="1:6" x14ac:dyDescent="0.3">
      <c r="A11">
        <v>120</v>
      </c>
      <c r="B11">
        <v>416.97</v>
      </c>
      <c r="C11">
        <v>3.4561999999999999</v>
      </c>
      <c r="D11">
        <v>0.18001</v>
      </c>
      <c r="E11">
        <v>1.0817E-4</v>
      </c>
      <c r="F11">
        <v>2.0769000000000002</v>
      </c>
    </row>
    <row r="12" spans="1:6" x14ac:dyDescent="0.3">
      <c r="A12">
        <v>121</v>
      </c>
      <c r="B12">
        <v>415.56</v>
      </c>
      <c r="C12">
        <v>3.4622000000000002</v>
      </c>
      <c r="D12">
        <v>0.17866000000000001</v>
      </c>
      <c r="E12">
        <v>1.0609E-4</v>
      </c>
      <c r="F12">
        <v>2.0558999999999998</v>
      </c>
    </row>
    <row r="13" spans="1:6" x14ac:dyDescent="0.3">
      <c r="A13">
        <v>122</v>
      </c>
      <c r="B13">
        <v>414.14</v>
      </c>
      <c r="C13">
        <v>3.4683999999999999</v>
      </c>
      <c r="D13">
        <v>0.17731</v>
      </c>
      <c r="E13">
        <v>1.0407E-4</v>
      </c>
      <c r="F13">
        <v>2.0356999999999998</v>
      </c>
    </row>
    <row r="14" spans="1:6" x14ac:dyDescent="0.3">
      <c r="A14">
        <v>123</v>
      </c>
      <c r="B14">
        <v>412.71</v>
      </c>
      <c r="C14">
        <v>3.4748000000000001</v>
      </c>
      <c r="D14">
        <v>0.17596000000000001</v>
      </c>
      <c r="E14">
        <v>1.021E-4</v>
      </c>
      <c r="F14">
        <v>2.0162</v>
      </c>
    </row>
    <row r="15" spans="1:6" x14ac:dyDescent="0.3">
      <c r="A15">
        <v>124</v>
      </c>
      <c r="B15">
        <v>411.28</v>
      </c>
      <c r="C15">
        <v>3.4813000000000001</v>
      </c>
      <c r="D15">
        <v>0.17460999999999999</v>
      </c>
      <c r="E15">
        <v>1.0018000000000001E-4</v>
      </c>
      <c r="F15">
        <v>1.9973000000000001</v>
      </c>
    </row>
    <row r="16" spans="1:6" x14ac:dyDescent="0.3">
      <c r="A16">
        <v>125</v>
      </c>
      <c r="B16">
        <v>409.83</v>
      </c>
      <c r="C16">
        <v>3.488</v>
      </c>
      <c r="D16">
        <v>0.17324999999999999</v>
      </c>
      <c r="E16">
        <v>9.8305000000000002E-5</v>
      </c>
      <c r="F16">
        <v>1.9791000000000001</v>
      </c>
    </row>
    <row r="17" spans="1:15" x14ac:dyDescent="0.3">
      <c r="A17">
        <v>126</v>
      </c>
      <c r="B17">
        <v>408.38</v>
      </c>
      <c r="C17">
        <v>3.4948999999999999</v>
      </c>
      <c r="D17">
        <v>0.1719</v>
      </c>
      <c r="E17">
        <v>9.6481E-5</v>
      </c>
      <c r="F17">
        <v>1.9616</v>
      </c>
    </row>
    <row r="18" spans="1:15" x14ac:dyDescent="0.3">
      <c r="A18">
        <v>127</v>
      </c>
      <c r="B18">
        <v>406.92</v>
      </c>
      <c r="C18">
        <v>3.5019999999999998</v>
      </c>
      <c r="D18">
        <v>0.17054</v>
      </c>
      <c r="E18">
        <v>9.4703000000000005E-5</v>
      </c>
      <c r="F18">
        <v>1.9446000000000001</v>
      </c>
    </row>
    <row r="19" spans="1:15" x14ac:dyDescent="0.3">
      <c r="A19">
        <v>128</v>
      </c>
      <c r="B19">
        <v>405.46</v>
      </c>
      <c r="C19">
        <v>3.5091999999999999</v>
      </c>
      <c r="D19">
        <v>0.16919000000000001</v>
      </c>
      <c r="E19">
        <v>9.2967000000000006E-5</v>
      </c>
      <c r="F19">
        <v>1.9282999999999999</v>
      </c>
    </row>
    <row r="20" spans="1:15" x14ac:dyDescent="0.3">
      <c r="A20">
        <v>129</v>
      </c>
      <c r="B20">
        <v>403.98</v>
      </c>
      <c r="C20">
        <v>3.5167000000000002</v>
      </c>
      <c r="D20">
        <v>0.16783000000000001</v>
      </c>
      <c r="E20">
        <v>9.1273999999999994E-5</v>
      </c>
      <c r="F20">
        <v>1.9125000000000001</v>
      </c>
    </row>
    <row r="21" spans="1:15" x14ac:dyDescent="0.3">
      <c r="A21">
        <v>130</v>
      </c>
      <c r="B21">
        <v>402.49</v>
      </c>
      <c r="C21">
        <v>3.5244</v>
      </c>
      <c r="D21">
        <v>0.16647999999999999</v>
      </c>
      <c r="E21">
        <v>8.9621000000000001E-5</v>
      </c>
      <c r="F21">
        <v>1.8973</v>
      </c>
      <c r="O21" t="s">
        <v>44</v>
      </c>
    </row>
    <row r="22" spans="1:15" x14ac:dyDescent="0.3">
      <c r="A22">
        <v>131</v>
      </c>
      <c r="B22">
        <v>401</v>
      </c>
      <c r="C22">
        <v>3.5323000000000002</v>
      </c>
      <c r="D22">
        <v>0.16513</v>
      </c>
      <c r="E22">
        <v>8.8007E-5</v>
      </c>
      <c r="F22">
        <v>1.8826000000000001</v>
      </c>
    </row>
    <row r="23" spans="1:15" x14ac:dyDescent="0.3">
      <c r="A23">
        <v>132</v>
      </c>
      <c r="B23">
        <v>399.5</v>
      </c>
      <c r="C23">
        <v>3.5405000000000002</v>
      </c>
      <c r="D23">
        <v>0.16377</v>
      </c>
      <c r="E23">
        <v>8.6429999999999997E-5</v>
      </c>
      <c r="F23">
        <v>1.8684000000000001</v>
      </c>
    </row>
    <row r="24" spans="1:15" x14ac:dyDescent="0.3">
      <c r="A24">
        <v>133</v>
      </c>
      <c r="B24">
        <v>397.98</v>
      </c>
      <c r="C24">
        <v>3.5489000000000002</v>
      </c>
      <c r="D24">
        <v>0.16242000000000001</v>
      </c>
      <c r="E24">
        <v>8.4889000000000007E-5</v>
      </c>
      <c r="F24">
        <v>1.8548</v>
      </c>
    </row>
    <row r="25" spans="1:15" x14ac:dyDescent="0.3">
      <c r="A25">
        <v>134</v>
      </c>
      <c r="B25">
        <v>396.46</v>
      </c>
      <c r="C25">
        <v>3.5575000000000001</v>
      </c>
      <c r="D25">
        <v>0.16106999999999999</v>
      </c>
      <c r="E25">
        <v>8.3384E-5</v>
      </c>
      <c r="F25">
        <v>1.8416999999999999</v>
      </c>
    </row>
    <row r="26" spans="1:15" x14ac:dyDescent="0.3">
      <c r="A26">
        <v>135</v>
      </c>
      <c r="B26">
        <v>394.93</v>
      </c>
      <c r="C26">
        <v>3.5663999999999998</v>
      </c>
      <c r="D26">
        <v>0.15972</v>
      </c>
      <c r="E26">
        <v>8.1911999999999998E-5</v>
      </c>
      <c r="F26">
        <v>1.829</v>
      </c>
    </row>
    <row r="27" spans="1:15" x14ac:dyDescent="0.3">
      <c r="A27">
        <v>136</v>
      </c>
      <c r="B27">
        <v>393.38</v>
      </c>
      <c r="C27">
        <v>3.5756000000000001</v>
      </c>
      <c r="D27">
        <v>0.15837000000000001</v>
      </c>
      <c r="E27">
        <v>8.0471999999999998E-5</v>
      </c>
      <c r="F27">
        <v>1.8169</v>
      </c>
    </row>
    <row r="28" spans="1:15" x14ac:dyDescent="0.3">
      <c r="A28">
        <v>137</v>
      </c>
      <c r="B28">
        <v>391.83</v>
      </c>
      <c r="C28">
        <v>3.5851000000000002</v>
      </c>
      <c r="D28">
        <v>0.15701999999999999</v>
      </c>
      <c r="E28">
        <v>7.9064000000000001E-5</v>
      </c>
      <c r="F28">
        <v>1.8051999999999999</v>
      </c>
    </row>
    <row r="29" spans="1:15" x14ac:dyDescent="0.3">
      <c r="A29">
        <v>138</v>
      </c>
      <c r="B29">
        <v>390.26</v>
      </c>
      <c r="C29">
        <v>3.5948000000000002</v>
      </c>
      <c r="D29">
        <v>0.15567</v>
      </c>
      <c r="E29">
        <v>7.7687000000000003E-5</v>
      </c>
      <c r="F29">
        <v>1.794</v>
      </c>
    </row>
    <row r="30" spans="1:15" x14ac:dyDescent="0.3">
      <c r="A30">
        <v>139</v>
      </c>
      <c r="B30">
        <v>388.69</v>
      </c>
      <c r="C30">
        <v>3.6049000000000002</v>
      </c>
      <c r="D30">
        <v>0.15432000000000001</v>
      </c>
      <c r="E30">
        <v>7.6339000000000002E-5</v>
      </c>
      <c r="F30">
        <v>1.7833000000000001</v>
      </c>
    </row>
    <row r="31" spans="1:15" x14ac:dyDescent="0.3">
      <c r="A31">
        <v>140</v>
      </c>
      <c r="B31">
        <v>387.1</v>
      </c>
      <c r="C31">
        <v>3.6154000000000002</v>
      </c>
      <c r="D31">
        <v>0.15298</v>
      </c>
      <c r="E31">
        <v>7.5018999999999994E-5</v>
      </c>
      <c r="F31">
        <v>1.7729999999999999</v>
      </c>
    </row>
    <row r="32" spans="1:15" x14ac:dyDescent="0.3">
      <c r="A32">
        <v>141</v>
      </c>
      <c r="B32">
        <v>385.5</v>
      </c>
      <c r="C32">
        <v>3.6261000000000001</v>
      </c>
      <c r="D32">
        <v>0.15162999999999999</v>
      </c>
      <c r="E32">
        <v>7.3726999999999994E-5</v>
      </c>
      <c r="F32">
        <v>1.7630999999999999</v>
      </c>
    </row>
    <row r="33" spans="1:6" x14ac:dyDescent="0.3">
      <c r="A33">
        <v>142</v>
      </c>
      <c r="B33">
        <v>383.89</v>
      </c>
      <c r="C33">
        <v>3.6372</v>
      </c>
      <c r="D33">
        <v>0.15029000000000001</v>
      </c>
      <c r="E33">
        <v>7.2461999999999998E-5</v>
      </c>
      <c r="F33">
        <v>1.7537</v>
      </c>
    </row>
    <row r="34" spans="1:6" x14ac:dyDescent="0.3">
      <c r="A34">
        <v>143</v>
      </c>
      <c r="B34">
        <v>382.26</v>
      </c>
      <c r="C34">
        <v>3.6488</v>
      </c>
      <c r="D34">
        <v>0.14895</v>
      </c>
      <c r="E34">
        <v>7.1223000000000006E-5</v>
      </c>
      <c r="F34">
        <v>1.7447999999999999</v>
      </c>
    </row>
    <row r="35" spans="1:6" x14ac:dyDescent="0.3">
      <c r="A35">
        <v>144</v>
      </c>
      <c r="B35">
        <v>380.62</v>
      </c>
      <c r="C35">
        <v>3.6606999999999998</v>
      </c>
      <c r="D35">
        <v>0.14760000000000001</v>
      </c>
      <c r="E35">
        <v>7.0009E-5</v>
      </c>
      <c r="F35">
        <v>1.7363</v>
      </c>
    </row>
    <row r="36" spans="1:6" x14ac:dyDescent="0.3">
      <c r="A36">
        <v>145</v>
      </c>
      <c r="B36">
        <v>378.97</v>
      </c>
      <c r="C36">
        <v>3.673</v>
      </c>
      <c r="D36">
        <v>0.14627000000000001</v>
      </c>
      <c r="E36">
        <v>6.8819000000000006E-5</v>
      </c>
      <c r="F36">
        <v>1.7282</v>
      </c>
    </row>
    <row r="37" spans="1:6" x14ac:dyDescent="0.3">
      <c r="A37">
        <v>146</v>
      </c>
      <c r="B37">
        <v>377.3</v>
      </c>
      <c r="C37">
        <v>3.6857000000000002</v>
      </c>
      <c r="D37">
        <v>0.14493</v>
      </c>
      <c r="E37">
        <v>6.7652999999999998E-5</v>
      </c>
      <c r="F37">
        <v>1.7204999999999999</v>
      </c>
    </row>
    <row r="38" spans="1:6" x14ac:dyDescent="0.3">
      <c r="A38">
        <v>147</v>
      </c>
      <c r="B38">
        <v>375.62</v>
      </c>
      <c r="C38">
        <v>3.6989000000000001</v>
      </c>
      <c r="D38">
        <v>0.14359</v>
      </c>
      <c r="E38">
        <v>6.6509999999999998E-5</v>
      </c>
      <c r="F38">
        <v>1.7133</v>
      </c>
    </row>
    <row r="39" spans="1:6" x14ac:dyDescent="0.3">
      <c r="A39">
        <v>148</v>
      </c>
      <c r="B39">
        <v>373.92</v>
      </c>
      <c r="C39">
        <v>3.7126000000000001</v>
      </c>
      <c r="D39">
        <v>0.14224999999999999</v>
      </c>
      <c r="E39">
        <v>6.5388000000000005E-5</v>
      </c>
      <c r="F39">
        <v>1.7065999999999999</v>
      </c>
    </row>
    <row r="40" spans="1:6" x14ac:dyDescent="0.3">
      <c r="A40">
        <v>149</v>
      </c>
      <c r="B40">
        <v>372.21</v>
      </c>
      <c r="C40">
        <v>3.7267999999999999</v>
      </c>
      <c r="D40">
        <v>0.14091999999999999</v>
      </c>
      <c r="E40">
        <v>6.4288999999999994E-5</v>
      </c>
      <c r="F40">
        <v>1.7001999999999999</v>
      </c>
    </row>
    <row r="41" spans="1:6" x14ac:dyDescent="0.3">
      <c r="A41">
        <v>150</v>
      </c>
      <c r="B41">
        <v>370.48</v>
      </c>
      <c r="C41">
        <v>3.7416</v>
      </c>
      <c r="D41">
        <v>0.13958999999999999</v>
      </c>
      <c r="E41">
        <v>6.321E-5</v>
      </c>
      <c r="F41">
        <v>1.6942999999999999</v>
      </c>
    </row>
    <row r="42" spans="1:6" x14ac:dyDescent="0.3">
      <c r="A42">
        <v>151</v>
      </c>
      <c r="B42">
        <v>368.73</v>
      </c>
      <c r="C42">
        <v>3.7568000000000001</v>
      </c>
      <c r="D42">
        <v>0.13825000000000001</v>
      </c>
      <c r="E42">
        <v>6.2150999999999995E-5</v>
      </c>
      <c r="F42">
        <v>1.6889000000000001</v>
      </c>
    </row>
    <row r="43" spans="1:6" x14ac:dyDescent="0.3">
      <c r="A43">
        <v>152</v>
      </c>
      <c r="B43">
        <v>366.97</v>
      </c>
      <c r="C43">
        <v>3.7726999999999999</v>
      </c>
      <c r="D43">
        <v>0.13691999999999999</v>
      </c>
      <c r="E43">
        <v>6.1111999999999994E-5</v>
      </c>
      <c r="F43">
        <v>1.6838</v>
      </c>
    </row>
    <row r="44" spans="1:6" x14ac:dyDescent="0.3">
      <c r="A44">
        <v>153</v>
      </c>
      <c r="B44">
        <v>365.19</v>
      </c>
      <c r="C44">
        <v>3.7892000000000001</v>
      </c>
      <c r="D44">
        <v>0.13558999999999999</v>
      </c>
      <c r="E44">
        <v>6.0092E-5</v>
      </c>
      <c r="F44">
        <v>1.6793</v>
      </c>
    </row>
    <row r="45" spans="1:6" x14ac:dyDescent="0.3">
      <c r="A45">
        <v>154</v>
      </c>
      <c r="B45">
        <v>363.39</v>
      </c>
      <c r="C45">
        <v>3.8062999999999998</v>
      </c>
      <c r="D45">
        <v>0.13425999999999999</v>
      </c>
      <c r="E45">
        <v>5.9089999999999998E-5</v>
      </c>
      <c r="F45">
        <v>1.6752</v>
      </c>
    </row>
    <row r="46" spans="1:6" x14ac:dyDescent="0.3">
      <c r="A46">
        <v>155</v>
      </c>
      <c r="B46">
        <v>361.57</v>
      </c>
      <c r="C46">
        <v>3.8241999999999998</v>
      </c>
      <c r="D46">
        <v>0.13294</v>
      </c>
      <c r="E46">
        <v>5.8105E-5</v>
      </c>
      <c r="F46">
        <v>1.6715</v>
      </c>
    </row>
    <row r="47" spans="1:6" x14ac:dyDescent="0.3">
      <c r="A47">
        <v>156</v>
      </c>
      <c r="B47">
        <v>359.73</v>
      </c>
      <c r="C47">
        <v>3.8426999999999998</v>
      </c>
      <c r="D47">
        <v>0.13161</v>
      </c>
      <c r="E47">
        <v>5.7138000000000001E-5</v>
      </c>
      <c r="F47">
        <v>1.6682999999999999</v>
      </c>
    </row>
    <row r="48" spans="1:6" x14ac:dyDescent="0.3">
      <c r="A48">
        <v>157</v>
      </c>
      <c r="B48">
        <v>357.87</v>
      </c>
      <c r="C48">
        <v>3.8620999999999999</v>
      </c>
      <c r="D48">
        <v>0.13028000000000001</v>
      </c>
      <c r="E48">
        <v>5.6187999999999998E-5</v>
      </c>
      <c r="F48">
        <v>1.6656</v>
      </c>
    </row>
    <row r="49" spans="1:6" x14ac:dyDescent="0.3">
      <c r="A49">
        <v>158</v>
      </c>
      <c r="B49">
        <v>355.99</v>
      </c>
      <c r="C49">
        <v>3.8822000000000001</v>
      </c>
      <c r="D49">
        <v>0.12895999999999999</v>
      </c>
      <c r="E49">
        <v>5.5253000000000001E-5</v>
      </c>
      <c r="F49">
        <v>1.6634</v>
      </c>
    </row>
    <row r="50" spans="1:6" x14ac:dyDescent="0.3">
      <c r="A50">
        <v>159</v>
      </c>
      <c r="B50">
        <v>354.09</v>
      </c>
      <c r="C50">
        <v>3.9032</v>
      </c>
      <c r="D50">
        <v>0.12762999999999999</v>
      </c>
      <c r="E50">
        <v>5.4335000000000001E-5</v>
      </c>
      <c r="F50">
        <v>1.6617</v>
      </c>
    </row>
    <row r="51" spans="1:6" x14ac:dyDescent="0.3">
      <c r="A51">
        <v>160</v>
      </c>
      <c r="B51">
        <v>352.16</v>
      </c>
      <c r="C51">
        <v>3.9251999999999998</v>
      </c>
      <c r="D51">
        <v>0.1263</v>
      </c>
      <c r="E51">
        <v>5.3430999999999997E-5</v>
      </c>
      <c r="F51">
        <v>1.6605000000000001</v>
      </c>
    </row>
    <row r="52" spans="1:6" x14ac:dyDescent="0.3">
      <c r="A52">
        <v>161</v>
      </c>
      <c r="B52">
        <v>350.21</v>
      </c>
      <c r="C52">
        <v>3.9481000000000002</v>
      </c>
      <c r="D52">
        <v>0.12497999999999999</v>
      </c>
      <c r="E52">
        <v>5.2540999999999997E-5</v>
      </c>
      <c r="F52">
        <v>1.6597999999999999</v>
      </c>
    </row>
    <row r="53" spans="1:6" x14ac:dyDescent="0.3">
      <c r="A53">
        <v>162</v>
      </c>
      <c r="B53">
        <v>348.23</v>
      </c>
      <c r="C53">
        <v>3.972</v>
      </c>
      <c r="D53">
        <v>0.12365</v>
      </c>
      <c r="E53">
        <v>5.1666000000000003E-5</v>
      </c>
      <c r="F53">
        <v>1.6596</v>
      </c>
    </row>
    <row r="54" spans="1:6" x14ac:dyDescent="0.3">
      <c r="A54">
        <v>163</v>
      </c>
      <c r="B54">
        <v>346.22</v>
      </c>
      <c r="C54">
        <v>3.9971000000000001</v>
      </c>
      <c r="D54">
        <v>0.12232999999999999</v>
      </c>
      <c r="E54">
        <v>5.0803999999999997E-5</v>
      </c>
      <c r="F54">
        <v>1.66</v>
      </c>
    </row>
    <row r="55" spans="1:6" x14ac:dyDescent="0.3">
      <c r="A55">
        <v>164</v>
      </c>
      <c r="B55">
        <v>344.19</v>
      </c>
      <c r="C55">
        <v>4.0233999999999996</v>
      </c>
      <c r="D55">
        <v>0.121</v>
      </c>
      <c r="E55">
        <v>4.9954999999999999E-5</v>
      </c>
      <c r="F55">
        <v>1.661</v>
      </c>
    </row>
    <row r="56" spans="1:6" x14ac:dyDescent="0.3">
      <c r="A56">
        <v>165</v>
      </c>
      <c r="B56">
        <v>342.13</v>
      </c>
      <c r="C56">
        <v>4.0509000000000004</v>
      </c>
      <c r="D56">
        <v>0.11967999999999999</v>
      </c>
      <c r="E56">
        <v>4.9119000000000002E-5</v>
      </c>
      <c r="F56">
        <v>1.6626000000000001</v>
      </c>
    </row>
    <row r="57" spans="1:6" x14ac:dyDescent="0.3">
      <c r="A57">
        <v>166</v>
      </c>
      <c r="B57">
        <v>340.04</v>
      </c>
      <c r="C57">
        <v>4.0797999999999996</v>
      </c>
      <c r="D57">
        <v>0.11835</v>
      </c>
      <c r="E57">
        <v>4.8294000000000002E-5</v>
      </c>
      <c r="F57">
        <v>1.6648000000000001</v>
      </c>
    </row>
    <row r="58" spans="1:6" x14ac:dyDescent="0.3">
      <c r="A58">
        <v>167</v>
      </c>
      <c r="B58">
        <v>337.92</v>
      </c>
      <c r="C58">
        <v>4.1101999999999999</v>
      </c>
      <c r="D58">
        <v>0.11703</v>
      </c>
      <c r="E58">
        <v>4.7481000000000002E-5</v>
      </c>
      <c r="F58">
        <v>1.6676</v>
      </c>
    </row>
    <row r="59" spans="1:6" x14ac:dyDescent="0.3">
      <c r="A59">
        <v>168</v>
      </c>
      <c r="B59">
        <v>335.76</v>
      </c>
      <c r="C59">
        <v>4.1421000000000001</v>
      </c>
      <c r="D59">
        <v>0.1157</v>
      </c>
      <c r="E59">
        <v>4.6678999999999998E-5</v>
      </c>
      <c r="F59">
        <v>1.6712</v>
      </c>
    </row>
    <row r="60" spans="1:6" x14ac:dyDescent="0.3">
      <c r="A60">
        <v>169</v>
      </c>
      <c r="B60">
        <v>333.57</v>
      </c>
      <c r="C60">
        <v>4.1757</v>
      </c>
      <c r="D60">
        <v>0.11437</v>
      </c>
      <c r="E60">
        <v>4.5887999999999998E-5</v>
      </c>
      <c r="F60">
        <v>1.6754</v>
      </c>
    </row>
    <row r="61" spans="1:6" x14ac:dyDescent="0.3">
      <c r="A61">
        <v>170</v>
      </c>
      <c r="B61">
        <v>331.34</v>
      </c>
      <c r="C61">
        <v>4.2111999999999998</v>
      </c>
      <c r="D61">
        <v>0.11304</v>
      </c>
      <c r="E61">
        <v>4.5105999999999998E-5</v>
      </c>
      <c r="F61">
        <v>1.6803999999999999</v>
      </c>
    </row>
    <row r="62" spans="1:6" x14ac:dyDescent="0.3">
      <c r="A62">
        <v>171</v>
      </c>
      <c r="B62">
        <v>329.07</v>
      </c>
      <c r="C62">
        <v>4.2485999999999997</v>
      </c>
      <c r="D62">
        <v>0.11171</v>
      </c>
      <c r="E62">
        <v>4.4333999999999999E-5</v>
      </c>
      <c r="F62">
        <v>1.6861999999999999</v>
      </c>
    </row>
    <row r="63" spans="1:6" x14ac:dyDescent="0.3">
      <c r="A63">
        <v>172</v>
      </c>
      <c r="B63">
        <v>326.76</v>
      </c>
      <c r="C63">
        <v>4.2881999999999998</v>
      </c>
      <c r="D63">
        <v>0.11037</v>
      </c>
      <c r="E63">
        <v>4.3571E-5</v>
      </c>
      <c r="F63">
        <v>1.6928000000000001</v>
      </c>
    </row>
    <row r="64" spans="1:6" x14ac:dyDescent="0.3">
      <c r="A64">
        <v>173</v>
      </c>
      <c r="B64">
        <v>324.41000000000003</v>
      </c>
      <c r="C64">
        <v>4.3300999999999998</v>
      </c>
      <c r="D64">
        <v>0.10904</v>
      </c>
      <c r="E64">
        <v>4.2815999999999998E-5</v>
      </c>
      <c r="F64">
        <v>1.7002999999999999</v>
      </c>
    </row>
    <row r="65" spans="1:6" x14ac:dyDescent="0.3">
      <c r="A65">
        <v>174</v>
      </c>
      <c r="B65">
        <v>322.01</v>
      </c>
      <c r="C65">
        <v>4.3746</v>
      </c>
      <c r="D65">
        <v>0.1077</v>
      </c>
      <c r="E65">
        <v>4.2069E-5</v>
      </c>
      <c r="F65">
        <v>1.7087000000000001</v>
      </c>
    </row>
    <row r="66" spans="1:6" x14ac:dyDescent="0.3">
      <c r="A66">
        <v>175</v>
      </c>
      <c r="B66">
        <v>319.56</v>
      </c>
      <c r="C66">
        <v>4.4218000000000002</v>
      </c>
      <c r="D66">
        <v>0.10636</v>
      </c>
      <c r="E66">
        <v>4.1328999999999997E-5</v>
      </c>
      <c r="F66">
        <v>1.7181999999999999</v>
      </c>
    </row>
    <row r="67" spans="1:6" x14ac:dyDescent="0.3">
      <c r="A67">
        <v>176</v>
      </c>
      <c r="B67">
        <v>317.06</v>
      </c>
      <c r="C67">
        <v>4.4721000000000002</v>
      </c>
      <c r="D67">
        <v>0.10502</v>
      </c>
      <c r="E67">
        <v>4.0596000000000002E-5</v>
      </c>
      <c r="F67">
        <v>1.7286999999999999</v>
      </c>
    </row>
    <row r="68" spans="1:6" x14ac:dyDescent="0.3">
      <c r="A68">
        <v>177</v>
      </c>
      <c r="B68">
        <v>314.51</v>
      </c>
      <c r="C68">
        <v>4.5256999999999996</v>
      </c>
      <c r="D68">
        <v>0.10367999999999999</v>
      </c>
      <c r="E68">
        <v>3.9870000000000003E-5</v>
      </c>
      <c r="F68">
        <v>1.7403999999999999</v>
      </c>
    </row>
    <row r="69" spans="1:6" x14ac:dyDescent="0.3">
      <c r="A69">
        <v>178</v>
      </c>
      <c r="B69">
        <v>311.89</v>
      </c>
      <c r="C69">
        <v>4.5831</v>
      </c>
      <c r="D69">
        <v>0.10233</v>
      </c>
      <c r="E69">
        <v>3.9149000000000001E-5</v>
      </c>
      <c r="F69">
        <v>1.7533000000000001</v>
      </c>
    </row>
    <row r="70" spans="1:6" x14ac:dyDescent="0.3">
      <c r="A70">
        <v>179</v>
      </c>
      <c r="B70">
        <v>309.22000000000003</v>
      </c>
      <c r="C70">
        <v>4.6444999999999999</v>
      </c>
      <c r="D70">
        <v>0.10099</v>
      </c>
      <c r="E70">
        <v>3.8433000000000003E-5</v>
      </c>
      <c r="F70">
        <v>1.7676000000000001</v>
      </c>
    </row>
    <row r="71" spans="1:6" x14ac:dyDescent="0.3">
      <c r="A71">
        <v>180</v>
      </c>
      <c r="B71">
        <v>306.47000000000003</v>
      </c>
      <c r="C71">
        <v>4.7104999999999997</v>
      </c>
      <c r="D71">
        <v>9.9637000000000003E-2</v>
      </c>
      <c r="E71">
        <v>3.7721E-5</v>
      </c>
      <c r="F71">
        <v>1.7833000000000001</v>
      </c>
    </row>
    <row r="72" spans="1:6" x14ac:dyDescent="0.3">
      <c r="A72">
        <v>181</v>
      </c>
      <c r="B72">
        <v>303.66000000000003</v>
      </c>
      <c r="C72">
        <v>4.7816000000000001</v>
      </c>
      <c r="D72">
        <v>9.8288E-2</v>
      </c>
      <c r="E72">
        <v>3.7013E-5</v>
      </c>
      <c r="F72">
        <v>1.8006</v>
      </c>
    </row>
    <row r="73" spans="1:6" x14ac:dyDescent="0.3">
      <c r="A73">
        <v>182</v>
      </c>
      <c r="B73">
        <v>300.77</v>
      </c>
      <c r="C73">
        <v>4.8582999999999998</v>
      </c>
      <c r="D73">
        <v>9.6937999999999996E-2</v>
      </c>
      <c r="E73">
        <v>3.6307000000000003E-5</v>
      </c>
      <c r="F73">
        <v>1.8196000000000001</v>
      </c>
    </row>
    <row r="74" spans="1:6" x14ac:dyDescent="0.3">
      <c r="A74">
        <v>183</v>
      </c>
      <c r="B74">
        <v>297.79000000000002</v>
      </c>
      <c r="C74">
        <v>4.9413999999999998</v>
      </c>
      <c r="D74">
        <v>9.5588999999999993E-2</v>
      </c>
      <c r="E74">
        <v>3.5604E-5</v>
      </c>
      <c r="F74">
        <v>1.8405</v>
      </c>
    </row>
    <row r="75" spans="1:6" x14ac:dyDescent="0.3">
      <c r="A75">
        <v>184</v>
      </c>
      <c r="B75">
        <v>294.72000000000003</v>
      </c>
      <c r="C75">
        <v>5.0316999999999998</v>
      </c>
      <c r="D75">
        <v>9.4243999999999994E-2</v>
      </c>
      <c r="E75">
        <v>3.4901999999999999E-5</v>
      </c>
      <c r="F75">
        <v>1.8633999999999999</v>
      </c>
    </row>
    <row r="76" spans="1:6" x14ac:dyDescent="0.3">
      <c r="A76">
        <v>185</v>
      </c>
      <c r="B76">
        <v>291.55</v>
      </c>
      <c r="C76">
        <v>5.1302000000000003</v>
      </c>
      <c r="D76">
        <v>9.2905000000000001E-2</v>
      </c>
      <c r="E76">
        <v>3.4199999999999998E-5</v>
      </c>
      <c r="F76">
        <v>1.8885000000000001</v>
      </c>
    </row>
    <row r="77" spans="1:6" x14ac:dyDescent="0.3">
      <c r="A77">
        <v>186</v>
      </c>
      <c r="B77">
        <v>288.27999999999997</v>
      </c>
      <c r="C77">
        <v>5.2380000000000004</v>
      </c>
      <c r="D77">
        <v>9.1576000000000005E-2</v>
      </c>
      <c r="E77">
        <v>3.3497000000000001E-5</v>
      </c>
      <c r="F77">
        <v>1.9159999999999999</v>
      </c>
    </row>
    <row r="78" spans="1:6" x14ac:dyDescent="0.3">
      <c r="A78">
        <v>187</v>
      </c>
      <c r="B78">
        <v>284.89</v>
      </c>
      <c r="C78">
        <v>5.3566000000000003</v>
      </c>
      <c r="D78">
        <v>9.0264999999999998E-2</v>
      </c>
      <c r="E78">
        <v>3.2793000000000003E-5</v>
      </c>
      <c r="F78">
        <v>1.946</v>
      </c>
    </row>
    <row r="79" spans="1:6" x14ac:dyDescent="0.3">
      <c r="A79">
        <v>188</v>
      </c>
      <c r="B79">
        <v>281.37</v>
      </c>
      <c r="C79">
        <v>5.4874999999999998</v>
      </c>
      <c r="D79">
        <v>8.8983999999999994E-2</v>
      </c>
      <c r="E79">
        <v>3.2085999999999997E-5</v>
      </c>
      <c r="F79">
        <v>1.9786999999999999</v>
      </c>
    </row>
    <row r="80" spans="1:6" x14ac:dyDescent="0.3">
      <c r="A80">
        <v>189</v>
      </c>
      <c r="B80">
        <v>277.7</v>
      </c>
      <c r="C80">
        <v>5.6327999999999996</v>
      </c>
      <c r="D80">
        <v>8.7755E-2</v>
      </c>
      <c r="E80">
        <v>3.1374000000000001E-5</v>
      </c>
      <c r="F80">
        <v>2.0137999999999998</v>
      </c>
    </row>
    <row r="81" spans="1:6" x14ac:dyDescent="0.3">
      <c r="A81">
        <v>190</v>
      </c>
      <c r="B81">
        <v>273.88</v>
      </c>
      <c r="C81">
        <v>5.7949000000000002</v>
      </c>
      <c r="D81">
        <v>8.6647000000000002E-2</v>
      </c>
      <c r="E81">
        <v>3.0655999999999999E-5</v>
      </c>
      <c r="F81">
        <v>2.0503</v>
      </c>
    </row>
    <row r="82" spans="1:6" x14ac:dyDescent="0.3">
      <c r="A82">
        <v>191</v>
      </c>
      <c r="B82">
        <v>269.88</v>
      </c>
      <c r="C82">
        <v>5.9767000000000001</v>
      </c>
      <c r="D82">
        <v>8.5392999999999997E-2</v>
      </c>
      <c r="E82">
        <v>2.9930999999999999E-5</v>
      </c>
      <c r="F82">
        <v>2.0949</v>
      </c>
    </row>
    <row r="83" spans="1:6" x14ac:dyDescent="0.3">
      <c r="A83">
        <v>192</v>
      </c>
      <c r="B83">
        <v>265.68</v>
      </c>
      <c r="C83">
        <v>6.1820000000000004</v>
      </c>
      <c r="D83">
        <v>8.3779000000000006E-2</v>
      </c>
      <c r="E83">
        <v>2.9196E-5</v>
      </c>
      <c r="F83">
        <v>2.1543000000000001</v>
      </c>
    </row>
    <row r="84" spans="1:6" x14ac:dyDescent="0.3">
      <c r="A84">
        <v>193</v>
      </c>
      <c r="B84">
        <v>261.26</v>
      </c>
      <c r="C84">
        <v>6.4149000000000003</v>
      </c>
      <c r="D84">
        <v>8.2238000000000006E-2</v>
      </c>
      <c r="E84">
        <v>2.8449000000000002E-5</v>
      </c>
      <c r="F84">
        <v>2.2191999999999998</v>
      </c>
    </row>
    <row r="85" spans="1:6" x14ac:dyDescent="0.3">
      <c r="A85">
        <v>194</v>
      </c>
      <c r="B85">
        <v>256.58999999999997</v>
      </c>
      <c r="C85">
        <v>6.681</v>
      </c>
      <c r="D85">
        <v>8.0715999999999996E-2</v>
      </c>
      <c r="E85">
        <v>2.7688E-5</v>
      </c>
      <c r="F85">
        <v>2.2917999999999998</v>
      </c>
    </row>
    <row r="86" spans="1:6" x14ac:dyDescent="0.3">
      <c r="A86">
        <v>195</v>
      </c>
      <c r="B86">
        <v>251.63</v>
      </c>
      <c r="C86">
        <v>6.9866999999999999</v>
      </c>
      <c r="D86">
        <v>7.9200999999999994E-2</v>
      </c>
      <c r="E86">
        <v>2.6910000000000002E-5</v>
      </c>
      <c r="F86">
        <v>2.3738000000000001</v>
      </c>
    </row>
    <row r="87" spans="1:6" x14ac:dyDescent="0.3">
      <c r="A87">
        <v>196</v>
      </c>
      <c r="B87">
        <v>246.34</v>
      </c>
      <c r="C87">
        <v>7.3392999999999997</v>
      </c>
      <c r="D87">
        <v>7.7689999999999995E-2</v>
      </c>
      <c r="E87">
        <v>2.6111000000000001E-5</v>
      </c>
      <c r="F87">
        <v>2.4666999999999999</v>
      </c>
    </row>
    <row r="88" spans="1:6" x14ac:dyDescent="0.3">
      <c r="A88">
        <v>197</v>
      </c>
      <c r="B88">
        <v>240.69</v>
      </c>
      <c r="C88">
        <v>7.7469999999999999</v>
      </c>
      <c r="D88">
        <v>7.6185000000000003E-2</v>
      </c>
      <c r="E88">
        <v>2.5289000000000001E-5</v>
      </c>
      <c r="F88">
        <v>2.5716000000000001</v>
      </c>
    </row>
    <row r="89" spans="1:6" x14ac:dyDescent="0.3">
      <c r="A89">
        <v>198</v>
      </c>
      <c r="B89">
        <v>234.61</v>
      </c>
      <c r="C89">
        <v>8.2180999999999997</v>
      </c>
      <c r="D89">
        <v>7.4688000000000004E-2</v>
      </c>
      <c r="E89">
        <v>2.4439000000000001E-5</v>
      </c>
      <c r="F89">
        <v>2.6890999999999998</v>
      </c>
    </row>
    <row r="90" spans="1:6" x14ac:dyDescent="0.3">
      <c r="A90">
        <v>199</v>
      </c>
      <c r="B90">
        <v>228.05</v>
      </c>
      <c r="C90">
        <v>8.7585999999999995</v>
      </c>
      <c r="D90">
        <v>7.3206999999999994E-2</v>
      </c>
      <c r="E90">
        <v>2.3560000000000001E-5</v>
      </c>
      <c r="F90">
        <v>2.8188</v>
      </c>
    </row>
    <row r="91" spans="1:6" x14ac:dyDescent="0.3">
      <c r="A91">
        <v>200</v>
      </c>
      <c r="B91">
        <v>220.96</v>
      </c>
      <c r="C91">
        <v>9.3695000000000004</v>
      </c>
      <c r="D91">
        <v>7.1745000000000003E-2</v>
      </c>
      <c r="E91">
        <v>2.2650000000000002E-5</v>
      </c>
      <c r="F91">
        <v>2.9579</v>
      </c>
    </row>
    <row r="92" spans="1:6" x14ac:dyDescent="0.3">
      <c r="A92">
        <v>201</v>
      </c>
      <c r="B92">
        <v>213.31</v>
      </c>
      <c r="C92">
        <v>10.039</v>
      </c>
      <c r="D92">
        <v>7.0304000000000005E-2</v>
      </c>
      <c r="E92">
        <v>2.1708999999999998E-5</v>
      </c>
      <c r="F92">
        <v>3.0998999999999999</v>
      </c>
    </row>
    <row r="93" spans="1:6" x14ac:dyDescent="0.3">
      <c r="A93">
        <v>202</v>
      </c>
      <c r="B93">
        <v>205.09</v>
      </c>
      <c r="C93">
        <v>10.731999999999999</v>
      </c>
      <c r="D93">
        <v>6.8875000000000006E-2</v>
      </c>
      <c r="E93">
        <v>2.0743000000000001E-5</v>
      </c>
      <c r="F93">
        <v>3.2323</v>
      </c>
    </row>
    <row r="94" spans="1:6" x14ac:dyDescent="0.3">
      <c r="A94">
        <v>203</v>
      </c>
      <c r="B94">
        <v>196.37</v>
      </c>
      <c r="C94">
        <v>11.375999999999999</v>
      </c>
      <c r="D94">
        <v>6.7427000000000001E-2</v>
      </c>
      <c r="E94">
        <v>1.9766999999999999E-5</v>
      </c>
      <c r="F94">
        <v>3.335</v>
      </c>
    </row>
    <row r="95" spans="1:6" x14ac:dyDescent="0.3">
      <c r="A95">
        <v>204</v>
      </c>
      <c r="B95">
        <v>187.3</v>
      </c>
      <c r="C95">
        <v>11.86</v>
      </c>
      <c r="D95">
        <v>6.5905000000000005E-2</v>
      </c>
      <c r="E95">
        <v>1.8800999999999998E-5</v>
      </c>
      <c r="F95">
        <v>3.3833000000000002</v>
      </c>
    </row>
    <row r="96" spans="1:6" x14ac:dyDescent="0.3">
      <c r="A96" s="22">
        <v>205</v>
      </c>
      <c r="B96" s="22">
        <v>178.14</v>
      </c>
      <c r="C96" s="22">
        <v>12.077999999999999</v>
      </c>
      <c r="D96" s="22">
        <v>6.4258999999999997E-2</v>
      </c>
      <c r="E96" s="22">
        <v>1.7876E-5</v>
      </c>
      <c r="F96">
        <v>3.3601999999999999</v>
      </c>
    </row>
    <row r="97" spans="1:6" x14ac:dyDescent="0.3">
      <c r="A97">
        <v>206</v>
      </c>
      <c r="B97">
        <v>169.22</v>
      </c>
      <c r="C97">
        <v>11.987</v>
      </c>
      <c r="D97">
        <v>6.2461000000000003E-2</v>
      </c>
      <c r="E97">
        <v>1.7022999999999999E-5</v>
      </c>
      <c r="F97">
        <v>3.2669999999999999</v>
      </c>
    </row>
    <row r="98" spans="1:6" x14ac:dyDescent="0.3">
      <c r="A98">
        <v>207</v>
      </c>
      <c r="B98">
        <v>160.81</v>
      </c>
      <c r="C98">
        <v>11.609</v>
      </c>
      <c r="D98">
        <v>6.0526000000000003E-2</v>
      </c>
      <c r="E98">
        <v>1.6262000000000001E-5</v>
      </c>
      <c r="F98">
        <v>3.1192000000000002</v>
      </c>
    </row>
    <row r="99" spans="1:6" x14ac:dyDescent="0.3">
      <c r="A99">
        <v>208</v>
      </c>
      <c r="B99">
        <v>153.09</v>
      </c>
      <c r="C99">
        <v>11.022</v>
      </c>
      <c r="D99">
        <v>5.8514999999999998E-2</v>
      </c>
      <c r="E99">
        <v>1.5603999999999998E-5</v>
      </c>
      <c r="F99">
        <v>2.9392999999999998</v>
      </c>
    </row>
    <row r="100" spans="1:6" x14ac:dyDescent="0.3">
      <c r="A100">
        <v>209</v>
      </c>
      <c r="B100">
        <v>146.15</v>
      </c>
      <c r="C100">
        <v>10.334</v>
      </c>
      <c r="D100">
        <v>5.6517999999999999E-2</v>
      </c>
      <c r="E100">
        <v>1.5045000000000001E-5</v>
      </c>
      <c r="F100">
        <v>2.7509000000000001</v>
      </c>
    </row>
    <row r="101" spans="1:6" x14ac:dyDescent="0.3">
      <c r="A101">
        <v>210</v>
      </c>
      <c r="B101">
        <v>139.97</v>
      </c>
      <c r="C101">
        <v>9.6348000000000003</v>
      </c>
      <c r="D101">
        <v>5.4619000000000001E-2</v>
      </c>
      <c r="E101">
        <v>1.4575E-5</v>
      </c>
      <c r="F101">
        <v>2.5710999999999999</v>
      </c>
    </row>
    <row r="102" spans="1:6" x14ac:dyDescent="0.3">
      <c r="A102">
        <v>211</v>
      </c>
      <c r="B102">
        <v>134.49</v>
      </c>
      <c r="C102">
        <v>8.9783000000000008</v>
      </c>
      <c r="D102">
        <v>5.2866999999999997E-2</v>
      </c>
      <c r="E102">
        <v>1.4181E-5</v>
      </c>
      <c r="F102">
        <v>2.4083999999999999</v>
      </c>
    </row>
    <row r="103" spans="1:6" x14ac:dyDescent="0.3">
      <c r="A103">
        <v>212</v>
      </c>
      <c r="B103">
        <v>129.62</v>
      </c>
      <c r="C103">
        <v>8.3861000000000008</v>
      </c>
      <c r="D103">
        <v>5.1277999999999997E-2</v>
      </c>
      <c r="E103">
        <v>1.3849000000000001E-5</v>
      </c>
      <c r="F103">
        <v>2.2648999999999999</v>
      </c>
    </row>
    <row r="104" spans="1:6" x14ac:dyDescent="0.3">
      <c r="A104">
        <v>213</v>
      </c>
      <c r="B104">
        <v>125.26</v>
      </c>
      <c r="C104">
        <v>7.8620999999999999</v>
      </c>
      <c r="D104">
        <v>4.9853000000000001E-2</v>
      </c>
      <c r="E104">
        <v>1.3568E-5</v>
      </c>
      <c r="F104">
        <v>2.1398000000000001</v>
      </c>
    </row>
    <row r="105" spans="1:6" x14ac:dyDescent="0.3">
      <c r="A105">
        <v>214</v>
      </c>
      <c r="B105">
        <v>121.35</v>
      </c>
      <c r="C105">
        <v>7.4020000000000001</v>
      </c>
      <c r="D105">
        <v>4.8580999999999999E-2</v>
      </c>
      <c r="E105">
        <v>1.3329000000000001E-5</v>
      </c>
      <c r="F105">
        <v>2.0308999999999999</v>
      </c>
    </row>
    <row r="106" spans="1:6" x14ac:dyDescent="0.3">
      <c r="A106">
        <v>215</v>
      </c>
      <c r="B106">
        <v>117.82</v>
      </c>
      <c r="C106">
        <v>6.9988999999999999</v>
      </c>
      <c r="D106">
        <v>4.7446000000000002E-2</v>
      </c>
      <c r="E106">
        <v>1.3124E-5</v>
      </c>
      <c r="F106">
        <v>1.9359</v>
      </c>
    </row>
    <row r="107" spans="1:6" x14ac:dyDescent="0.3">
      <c r="A107">
        <v>216</v>
      </c>
      <c r="B107">
        <v>114.61</v>
      </c>
      <c r="C107">
        <v>6.6452</v>
      </c>
      <c r="D107">
        <v>4.6434999999999997E-2</v>
      </c>
      <c r="E107">
        <v>1.2947E-5</v>
      </c>
      <c r="F107">
        <v>1.8528</v>
      </c>
    </row>
    <row r="108" spans="1:6" x14ac:dyDescent="0.3">
      <c r="A108">
        <v>217</v>
      </c>
      <c r="B108">
        <v>111.68</v>
      </c>
      <c r="C108">
        <v>6.3338000000000001</v>
      </c>
      <c r="D108">
        <v>4.5532000000000003E-2</v>
      </c>
      <c r="E108">
        <v>1.2792999999999999E-5</v>
      </c>
      <c r="F108">
        <v>1.7796000000000001</v>
      </c>
    </row>
    <row r="109" spans="1:6" x14ac:dyDescent="0.3">
      <c r="A109">
        <v>218</v>
      </c>
      <c r="B109">
        <v>108.99</v>
      </c>
      <c r="C109">
        <v>6.0585000000000004</v>
      </c>
      <c r="D109">
        <v>4.4725000000000001E-2</v>
      </c>
      <c r="E109">
        <v>1.2660000000000001E-5</v>
      </c>
      <c r="F109">
        <v>1.7149000000000001</v>
      </c>
    </row>
    <row r="110" spans="1:6" x14ac:dyDescent="0.3">
      <c r="A110">
        <v>219</v>
      </c>
      <c r="B110">
        <v>106.5</v>
      </c>
      <c r="C110">
        <v>5.8140000000000001</v>
      </c>
      <c r="D110">
        <v>4.4000999999999998E-2</v>
      </c>
      <c r="E110">
        <v>1.2543E-5</v>
      </c>
      <c r="F110">
        <v>1.6573</v>
      </c>
    </row>
    <row r="111" spans="1:6" x14ac:dyDescent="0.3">
      <c r="A111">
        <v>220</v>
      </c>
      <c r="B111">
        <v>104.2</v>
      </c>
      <c r="C111">
        <v>5.5957999999999997</v>
      </c>
      <c r="D111">
        <v>4.3352000000000002E-2</v>
      </c>
      <c r="E111">
        <v>1.2439999999999999E-5</v>
      </c>
      <c r="F111">
        <v>1.6056999999999999</v>
      </c>
    </row>
    <row r="112" spans="1:6" x14ac:dyDescent="0.3">
      <c r="A112">
        <v>221</v>
      </c>
      <c r="B112">
        <v>102.06</v>
      </c>
      <c r="C112">
        <v>5.4002999999999997</v>
      </c>
      <c r="D112">
        <v>4.2766999999999999E-2</v>
      </c>
      <c r="E112">
        <v>1.2349E-5</v>
      </c>
      <c r="F112">
        <v>1.5592999999999999</v>
      </c>
    </row>
    <row r="113" spans="1:6" x14ac:dyDescent="0.3">
      <c r="A113">
        <v>222</v>
      </c>
      <c r="B113">
        <v>100.06</v>
      </c>
      <c r="C113">
        <v>5.2241999999999997</v>
      </c>
      <c r="D113">
        <v>4.2238999999999999E-2</v>
      </c>
      <c r="E113">
        <v>1.2269000000000001E-5</v>
      </c>
      <c r="F113">
        <v>1.5174000000000001</v>
      </c>
    </row>
    <row r="114" spans="1:6" x14ac:dyDescent="0.3">
      <c r="A114">
        <v>223</v>
      </c>
      <c r="B114">
        <v>98.182000000000002</v>
      </c>
      <c r="C114">
        <v>5.0648999999999997</v>
      </c>
      <c r="D114">
        <v>4.1762000000000001E-2</v>
      </c>
      <c r="E114">
        <v>1.2198000000000001E-5</v>
      </c>
      <c r="F114">
        <v>1.4793000000000001</v>
      </c>
    </row>
    <row r="115" spans="1:6" x14ac:dyDescent="0.3">
      <c r="A115">
        <v>224</v>
      </c>
      <c r="B115">
        <v>96.42</v>
      </c>
      <c r="C115">
        <v>4.9202000000000004</v>
      </c>
      <c r="D115">
        <v>4.1331E-2</v>
      </c>
      <c r="E115">
        <v>1.2135E-5</v>
      </c>
      <c r="F115">
        <v>1.4446000000000001</v>
      </c>
    </row>
    <row r="116" spans="1:6" x14ac:dyDescent="0.3">
      <c r="A116">
        <v>225</v>
      </c>
      <c r="B116">
        <v>94.757999999999996</v>
      </c>
      <c r="C116">
        <v>4.7882999999999996</v>
      </c>
      <c r="D116">
        <v>4.0939000000000003E-2</v>
      </c>
      <c r="E116">
        <v>1.2079000000000001E-5</v>
      </c>
      <c r="F116">
        <v>1.4128000000000001</v>
      </c>
    </row>
    <row r="117" spans="1:6" x14ac:dyDescent="0.3">
      <c r="A117">
        <v>226</v>
      </c>
      <c r="B117">
        <v>93.186999999999998</v>
      </c>
      <c r="C117">
        <v>4.6677</v>
      </c>
      <c r="D117">
        <v>4.0584000000000002E-2</v>
      </c>
      <c r="E117">
        <v>1.2029E-5</v>
      </c>
      <c r="F117">
        <v>1.3835</v>
      </c>
    </row>
    <row r="118" spans="1:6" x14ac:dyDescent="0.3">
      <c r="A118">
        <v>227</v>
      </c>
      <c r="B118">
        <v>91.698999999999998</v>
      </c>
      <c r="C118">
        <v>4.5568999999999997</v>
      </c>
      <c r="D118">
        <v>4.0260999999999998E-2</v>
      </c>
      <c r="E118">
        <v>1.1985E-5</v>
      </c>
      <c r="F118">
        <v>1.3565</v>
      </c>
    </row>
    <row r="119" spans="1:6" x14ac:dyDescent="0.3">
      <c r="A119">
        <v>228</v>
      </c>
      <c r="B119">
        <v>90.287000000000006</v>
      </c>
      <c r="C119">
        <v>4.4549000000000003</v>
      </c>
      <c r="D119">
        <v>3.9967999999999997E-2</v>
      </c>
      <c r="E119">
        <v>1.1946E-5</v>
      </c>
      <c r="F119">
        <v>1.3315999999999999</v>
      </c>
    </row>
    <row r="120" spans="1:6" x14ac:dyDescent="0.3">
      <c r="A120">
        <v>229</v>
      </c>
      <c r="B120">
        <v>88.942999999999998</v>
      </c>
      <c r="C120">
        <v>4.3606999999999996</v>
      </c>
      <c r="D120">
        <v>3.9699999999999999E-2</v>
      </c>
      <c r="E120">
        <v>1.1912E-5</v>
      </c>
      <c r="F120">
        <v>1.3084</v>
      </c>
    </row>
    <row r="121" spans="1:6" x14ac:dyDescent="0.3">
      <c r="A121">
        <v>230</v>
      </c>
      <c r="B121">
        <v>87.661000000000001</v>
      </c>
      <c r="C121">
        <v>4.2735000000000003</v>
      </c>
      <c r="D121">
        <v>3.9456999999999999E-2</v>
      </c>
      <c r="E121">
        <v>1.1881E-5</v>
      </c>
      <c r="F121">
        <v>1.2867999999999999</v>
      </c>
    </row>
    <row r="122" spans="1:6" x14ac:dyDescent="0.3">
      <c r="A122">
        <v>231</v>
      </c>
      <c r="B122">
        <v>86.438000000000002</v>
      </c>
      <c r="C122">
        <v>4.1924999999999999</v>
      </c>
      <c r="D122">
        <v>3.9234999999999999E-2</v>
      </c>
      <c r="E122">
        <v>1.1854E-5</v>
      </c>
      <c r="F122">
        <v>1.2666999999999999</v>
      </c>
    </row>
    <row r="123" spans="1:6" x14ac:dyDescent="0.3">
      <c r="A123">
        <v>232</v>
      </c>
      <c r="B123">
        <v>85.266999999999996</v>
      </c>
      <c r="C123">
        <v>4.1170999999999998</v>
      </c>
      <c r="D123">
        <v>3.9033999999999999E-2</v>
      </c>
      <c r="E123">
        <v>1.1831000000000001E-5</v>
      </c>
      <c r="F123">
        <v>1.2479</v>
      </c>
    </row>
    <row r="124" spans="1:6" x14ac:dyDescent="0.3">
      <c r="A124">
        <v>233</v>
      </c>
      <c r="B124">
        <v>84.146000000000001</v>
      </c>
      <c r="C124">
        <v>4.0468000000000002</v>
      </c>
      <c r="D124">
        <v>3.8850000000000003E-2</v>
      </c>
      <c r="E124">
        <v>1.181E-5</v>
      </c>
      <c r="F124">
        <v>1.2302</v>
      </c>
    </row>
    <row r="125" spans="1:6" x14ac:dyDescent="0.3">
      <c r="A125">
        <v>234</v>
      </c>
      <c r="B125">
        <v>83.07</v>
      </c>
      <c r="C125">
        <v>3.9809999999999999</v>
      </c>
      <c r="D125">
        <v>3.8683000000000002E-2</v>
      </c>
      <c r="E125">
        <v>1.1793E-5</v>
      </c>
      <c r="F125">
        <v>1.2136</v>
      </c>
    </row>
    <row r="126" spans="1:6" x14ac:dyDescent="0.3">
      <c r="A126">
        <v>235</v>
      </c>
      <c r="B126">
        <v>82.037000000000006</v>
      </c>
      <c r="C126">
        <v>3.9195000000000002</v>
      </c>
      <c r="D126">
        <v>3.8531000000000003E-2</v>
      </c>
      <c r="E126">
        <v>1.1776999999999999E-5</v>
      </c>
      <c r="F126">
        <v>1.198</v>
      </c>
    </row>
    <row r="127" spans="1:6" x14ac:dyDescent="0.3">
      <c r="A127">
        <v>236</v>
      </c>
      <c r="B127">
        <v>81.043000000000006</v>
      </c>
      <c r="C127">
        <v>3.8616999999999999</v>
      </c>
      <c r="D127">
        <v>3.8393999999999998E-2</v>
      </c>
      <c r="E127">
        <v>1.1765E-5</v>
      </c>
      <c r="F127">
        <v>1.1833</v>
      </c>
    </row>
    <row r="128" spans="1:6" x14ac:dyDescent="0.3">
      <c r="A128">
        <v>237</v>
      </c>
      <c r="B128">
        <v>80.085999999999999</v>
      </c>
      <c r="C128">
        <v>3.8073999999999999</v>
      </c>
      <c r="D128">
        <v>3.8268999999999997E-2</v>
      </c>
      <c r="E128">
        <v>1.1754E-5</v>
      </c>
      <c r="F128">
        <v>1.1694</v>
      </c>
    </row>
    <row r="129" spans="1:6" x14ac:dyDescent="0.3">
      <c r="A129">
        <v>238</v>
      </c>
      <c r="B129">
        <v>79.162999999999997</v>
      </c>
      <c r="C129">
        <v>3.7562000000000002</v>
      </c>
      <c r="D129">
        <v>3.8157000000000003E-2</v>
      </c>
      <c r="E129">
        <v>1.1745E-5</v>
      </c>
      <c r="F129">
        <v>1.1561999999999999</v>
      </c>
    </row>
    <row r="130" spans="1:6" x14ac:dyDescent="0.3">
      <c r="A130">
        <v>239</v>
      </c>
      <c r="B130">
        <v>78.272999999999996</v>
      </c>
      <c r="C130">
        <v>3.7080000000000002</v>
      </c>
      <c r="D130">
        <v>3.8054999999999999E-2</v>
      </c>
      <c r="E130">
        <v>1.1738E-5</v>
      </c>
      <c r="F130">
        <v>1.1436999999999999</v>
      </c>
    </row>
    <row r="131" spans="1:6" x14ac:dyDescent="0.3">
      <c r="A131">
        <v>240</v>
      </c>
      <c r="B131">
        <v>77.412999999999997</v>
      </c>
      <c r="C131">
        <v>3.6625000000000001</v>
      </c>
      <c r="D131">
        <v>3.7964999999999999E-2</v>
      </c>
      <c r="E131">
        <v>1.1732999999999999E-5</v>
      </c>
      <c r="F131">
        <v>1.1318999999999999</v>
      </c>
    </row>
    <row r="132" spans="1:6" x14ac:dyDescent="0.3">
      <c r="A132">
        <v>241</v>
      </c>
      <c r="B132">
        <v>76.581000000000003</v>
      </c>
      <c r="C132">
        <v>3.6194000000000002</v>
      </c>
      <c r="D132">
        <v>3.7883E-2</v>
      </c>
      <c r="E132">
        <v>1.1729000000000001E-5</v>
      </c>
      <c r="F132">
        <v>1.1206</v>
      </c>
    </row>
    <row r="133" spans="1:6" x14ac:dyDescent="0.3">
      <c r="A133">
        <v>242</v>
      </c>
      <c r="B133">
        <v>75.775999999999996</v>
      </c>
      <c r="C133">
        <v>3.5785999999999998</v>
      </c>
      <c r="D133">
        <v>3.7810999999999997E-2</v>
      </c>
      <c r="E133">
        <v>1.1727E-5</v>
      </c>
      <c r="F133">
        <v>1.1099000000000001</v>
      </c>
    </row>
    <row r="134" spans="1:6" x14ac:dyDescent="0.3">
      <c r="A134">
        <v>243</v>
      </c>
      <c r="B134">
        <v>74.995999999999995</v>
      </c>
      <c r="C134">
        <v>3.54</v>
      </c>
      <c r="D134">
        <v>3.7747999999999997E-2</v>
      </c>
      <c r="E134">
        <v>1.1725999999999999E-5</v>
      </c>
      <c r="F134">
        <v>1.0996999999999999</v>
      </c>
    </row>
    <row r="135" spans="1:6" x14ac:dyDescent="0.3">
      <c r="A135">
        <v>244</v>
      </c>
      <c r="B135">
        <v>74.239999999999995</v>
      </c>
      <c r="C135">
        <v>3.5032999999999999</v>
      </c>
      <c r="D135">
        <v>3.7692000000000003E-2</v>
      </c>
      <c r="E135">
        <v>1.1727E-5</v>
      </c>
      <c r="F135">
        <v>1.0900000000000001</v>
      </c>
    </row>
    <row r="136" spans="1:6" x14ac:dyDescent="0.3">
      <c r="A136">
        <v>245</v>
      </c>
      <c r="B136">
        <v>73.507000000000005</v>
      </c>
      <c r="C136">
        <v>3.4685000000000001</v>
      </c>
      <c r="D136">
        <v>3.7643000000000003E-2</v>
      </c>
      <c r="E136">
        <v>1.1729000000000001E-5</v>
      </c>
      <c r="F136">
        <v>1.0807</v>
      </c>
    </row>
    <row r="137" spans="1:6" x14ac:dyDescent="0.3">
      <c r="A137">
        <v>246</v>
      </c>
      <c r="B137">
        <v>72.795000000000002</v>
      </c>
      <c r="C137">
        <v>3.4352999999999998</v>
      </c>
      <c r="D137">
        <v>3.7601999999999997E-2</v>
      </c>
      <c r="E137">
        <v>1.1731E-5</v>
      </c>
      <c r="F137">
        <v>1.0718000000000001</v>
      </c>
    </row>
    <row r="138" spans="1:6" x14ac:dyDescent="0.3">
      <c r="A138">
        <v>247</v>
      </c>
      <c r="B138">
        <v>72.102999999999994</v>
      </c>
      <c r="C138">
        <v>3.4037999999999999</v>
      </c>
      <c r="D138">
        <v>3.7567000000000003E-2</v>
      </c>
      <c r="E138">
        <v>1.1735E-5</v>
      </c>
      <c r="F138">
        <v>1.0632999999999999</v>
      </c>
    </row>
    <row r="139" spans="1:6" x14ac:dyDescent="0.3">
      <c r="A139">
        <v>248</v>
      </c>
      <c r="B139">
        <v>71.430000000000007</v>
      </c>
      <c r="C139">
        <v>3.3736999999999999</v>
      </c>
      <c r="D139">
        <v>3.7539000000000003E-2</v>
      </c>
      <c r="E139">
        <v>1.1739999999999999E-5</v>
      </c>
      <c r="F139">
        <v>1.0550999999999999</v>
      </c>
    </row>
    <row r="140" spans="1:6" x14ac:dyDescent="0.3">
      <c r="A140">
        <v>249</v>
      </c>
      <c r="B140">
        <v>70.775999999999996</v>
      </c>
      <c r="C140">
        <v>3.3450000000000002</v>
      </c>
      <c r="D140">
        <v>3.7516000000000001E-2</v>
      </c>
      <c r="E140">
        <v>1.1746000000000001E-5</v>
      </c>
      <c r="F140">
        <v>1.0472999999999999</v>
      </c>
    </row>
    <row r="141" spans="1:6" x14ac:dyDescent="0.3">
      <c r="A141">
        <v>250</v>
      </c>
      <c r="B141">
        <v>70.138999999999996</v>
      </c>
      <c r="C141">
        <v>3.3176999999999999</v>
      </c>
      <c r="D141">
        <v>3.7497999999999997E-2</v>
      </c>
      <c r="E141">
        <v>1.1753000000000001E-5</v>
      </c>
      <c r="F141">
        <v>1.0398000000000001</v>
      </c>
    </row>
    <row r="142" spans="1:6" x14ac:dyDescent="0.3">
      <c r="A142">
        <v>251</v>
      </c>
      <c r="B142">
        <v>69.519000000000005</v>
      </c>
      <c r="C142">
        <v>3.2915000000000001</v>
      </c>
      <c r="D142">
        <v>3.7485999999999998E-2</v>
      </c>
      <c r="E142">
        <v>1.1759999999999999E-5</v>
      </c>
      <c r="F142">
        <v>1.0326</v>
      </c>
    </row>
    <row r="143" spans="1:6" x14ac:dyDescent="0.3">
      <c r="A143">
        <v>252</v>
      </c>
      <c r="B143">
        <v>68.915000000000006</v>
      </c>
      <c r="C143">
        <v>3.2665999999999999</v>
      </c>
      <c r="D143">
        <v>3.7478999999999998E-2</v>
      </c>
      <c r="E143">
        <v>1.1769E-5</v>
      </c>
      <c r="F143">
        <v>1.0257000000000001</v>
      </c>
    </row>
    <row r="144" spans="1:6" x14ac:dyDescent="0.3">
      <c r="A144">
        <v>253</v>
      </c>
      <c r="B144">
        <v>68.325999999999993</v>
      </c>
      <c r="C144">
        <v>3.2427000000000001</v>
      </c>
      <c r="D144">
        <v>3.7477000000000003E-2</v>
      </c>
      <c r="E144">
        <v>1.1778E-5</v>
      </c>
      <c r="F144">
        <v>1.0190999999999999</v>
      </c>
    </row>
    <row r="145" spans="1:6" x14ac:dyDescent="0.3">
      <c r="A145">
        <v>254</v>
      </c>
      <c r="B145">
        <v>67.751000000000005</v>
      </c>
      <c r="C145">
        <v>3.2198000000000002</v>
      </c>
      <c r="D145">
        <v>3.7478999999999998E-2</v>
      </c>
      <c r="E145">
        <v>1.1787000000000001E-5</v>
      </c>
      <c r="F145">
        <v>1.0125999999999999</v>
      </c>
    </row>
    <row r="146" spans="1:6" x14ac:dyDescent="0.3">
      <c r="A146">
        <v>255</v>
      </c>
      <c r="B146">
        <v>67.19</v>
      </c>
      <c r="C146">
        <v>3.1979000000000002</v>
      </c>
      <c r="D146">
        <v>3.7484999999999997E-2</v>
      </c>
      <c r="E146">
        <v>1.1798E-5</v>
      </c>
      <c r="F146">
        <v>1.0065</v>
      </c>
    </row>
    <row r="147" spans="1:6" x14ac:dyDescent="0.3">
      <c r="A147">
        <v>256</v>
      </c>
      <c r="B147">
        <v>66.641999999999996</v>
      </c>
      <c r="C147">
        <v>3.1768999999999998</v>
      </c>
      <c r="D147">
        <v>3.7495000000000001E-2</v>
      </c>
      <c r="E147">
        <v>1.1809E-5</v>
      </c>
      <c r="F147">
        <v>1.0004999999999999</v>
      </c>
    </row>
    <row r="148" spans="1:6" x14ac:dyDescent="0.3">
      <c r="A148">
        <v>257</v>
      </c>
      <c r="B148">
        <v>66.106999999999999</v>
      </c>
      <c r="C148">
        <v>3.1566999999999998</v>
      </c>
      <c r="D148">
        <v>3.7510000000000002E-2</v>
      </c>
      <c r="E148">
        <v>1.1821000000000001E-5</v>
      </c>
      <c r="F148">
        <v>0.99480000000000002</v>
      </c>
    </row>
    <row r="149" spans="1:6" x14ac:dyDescent="0.3">
      <c r="A149">
        <v>258</v>
      </c>
      <c r="B149">
        <v>65.584000000000003</v>
      </c>
      <c r="C149">
        <v>3.1374</v>
      </c>
      <c r="D149">
        <v>3.7526999999999998E-2</v>
      </c>
      <c r="E149">
        <v>1.1833E-5</v>
      </c>
      <c r="F149">
        <v>0.98926000000000003</v>
      </c>
    </row>
    <row r="150" spans="1:6" x14ac:dyDescent="0.3">
      <c r="A150">
        <v>259</v>
      </c>
      <c r="B150">
        <v>65.072999999999993</v>
      </c>
      <c r="C150">
        <v>3.1189</v>
      </c>
      <c r="D150">
        <v>3.7548999999999999E-2</v>
      </c>
      <c r="E150">
        <v>1.1846E-5</v>
      </c>
      <c r="F150">
        <v>0.98392000000000002</v>
      </c>
    </row>
    <row r="151" spans="1:6" x14ac:dyDescent="0.3">
      <c r="A151">
        <v>260</v>
      </c>
      <c r="B151">
        <v>64.572999999999993</v>
      </c>
      <c r="C151">
        <v>3.1011000000000002</v>
      </c>
      <c r="D151">
        <v>3.7573000000000002E-2</v>
      </c>
      <c r="E151">
        <v>1.1858999999999999E-5</v>
      </c>
      <c r="F151">
        <v>0.97875000000000001</v>
      </c>
    </row>
    <row r="152" spans="1:6" x14ac:dyDescent="0.3">
      <c r="A152">
        <v>261</v>
      </c>
      <c r="B152">
        <v>64.084000000000003</v>
      </c>
      <c r="C152">
        <v>3.0838999999999999</v>
      </c>
      <c r="D152">
        <v>3.7601000000000002E-2</v>
      </c>
      <c r="E152">
        <v>1.1873E-5</v>
      </c>
      <c r="F152">
        <v>0.97375999999999996</v>
      </c>
    </row>
    <row r="153" spans="1:6" x14ac:dyDescent="0.3">
      <c r="A153">
        <v>262</v>
      </c>
      <c r="B153">
        <v>63.604999999999997</v>
      </c>
      <c r="C153">
        <v>3.0674999999999999</v>
      </c>
      <c r="D153">
        <v>3.7631999999999999E-2</v>
      </c>
      <c r="E153">
        <v>1.1887E-5</v>
      </c>
      <c r="F153">
        <v>0.96892999999999996</v>
      </c>
    </row>
    <row r="154" spans="1:6" x14ac:dyDescent="0.3">
      <c r="A154">
        <v>263</v>
      </c>
      <c r="B154">
        <v>63.136000000000003</v>
      </c>
      <c r="C154">
        <v>3.0516999999999999</v>
      </c>
      <c r="D154">
        <v>3.7665999999999998E-2</v>
      </c>
      <c r="E154">
        <v>1.1902000000000001E-5</v>
      </c>
      <c r="F154">
        <v>0.96425000000000005</v>
      </c>
    </row>
    <row r="155" spans="1:6" x14ac:dyDescent="0.3">
      <c r="A155">
        <v>264</v>
      </c>
      <c r="B155">
        <v>62.677</v>
      </c>
      <c r="C155">
        <v>3.0365000000000002</v>
      </c>
      <c r="D155">
        <v>3.7703E-2</v>
      </c>
      <c r="E155">
        <v>1.1917E-5</v>
      </c>
      <c r="F155">
        <v>0.95972999999999997</v>
      </c>
    </row>
    <row r="156" spans="1:6" x14ac:dyDescent="0.3">
      <c r="A156">
        <v>265</v>
      </c>
      <c r="B156">
        <v>62.226999999999997</v>
      </c>
      <c r="C156">
        <v>3.0217999999999998</v>
      </c>
      <c r="D156">
        <v>3.7742999999999999E-2</v>
      </c>
      <c r="E156">
        <v>1.1932E-5</v>
      </c>
      <c r="F156">
        <v>0.95533999999999997</v>
      </c>
    </row>
    <row r="157" spans="1:6" x14ac:dyDescent="0.3">
      <c r="A157">
        <v>266</v>
      </c>
      <c r="B157">
        <v>61.786000000000001</v>
      </c>
      <c r="C157">
        <v>3.0076999999999998</v>
      </c>
      <c r="D157">
        <v>3.7784999999999999E-2</v>
      </c>
      <c r="E157">
        <v>1.1948E-5</v>
      </c>
      <c r="F157">
        <v>0.95109999999999995</v>
      </c>
    </row>
    <row r="158" spans="1:6" x14ac:dyDescent="0.3">
      <c r="A158">
        <v>267</v>
      </c>
      <c r="B158">
        <v>61.353000000000002</v>
      </c>
      <c r="C158">
        <v>2.9941</v>
      </c>
      <c r="D158">
        <v>3.7830000000000003E-2</v>
      </c>
      <c r="E158">
        <v>1.1965E-5</v>
      </c>
      <c r="F158">
        <v>0.94698000000000004</v>
      </c>
    </row>
    <row r="159" spans="1:6" x14ac:dyDescent="0.3">
      <c r="A159">
        <v>268</v>
      </c>
      <c r="B159">
        <v>60.929000000000002</v>
      </c>
      <c r="C159">
        <v>2.9811000000000001</v>
      </c>
      <c r="D159">
        <v>3.7877000000000001E-2</v>
      </c>
      <c r="E159">
        <v>1.1980999999999999E-5</v>
      </c>
      <c r="F159">
        <v>0.94298000000000004</v>
      </c>
    </row>
    <row r="160" spans="1:6" x14ac:dyDescent="0.3">
      <c r="A160">
        <v>269</v>
      </c>
      <c r="B160">
        <v>60.512999999999998</v>
      </c>
      <c r="C160">
        <v>2.9685000000000001</v>
      </c>
      <c r="D160">
        <v>3.7926000000000001E-2</v>
      </c>
      <c r="E160">
        <v>1.1997999999999999E-5</v>
      </c>
      <c r="F160">
        <v>0.93910000000000005</v>
      </c>
    </row>
    <row r="161" spans="1:6" x14ac:dyDescent="0.3">
      <c r="A161">
        <v>270</v>
      </c>
      <c r="B161">
        <v>60.104999999999997</v>
      </c>
      <c r="C161">
        <v>2.9563000000000001</v>
      </c>
      <c r="D161">
        <v>3.7977999999999998E-2</v>
      </c>
      <c r="E161">
        <v>1.2016E-5</v>
      </c>
      <c r="F161">
        <v>0.93532999999999999</v>
      </c>
    </row>
    <row r="162" spans="1:6" x14ac:dyDescent="0.3">
      <c r="A162">
        <v>271</v>
      </c>
      <c r="B162">
        <v>59.704000000000001</v>
      </c>
      <c r="C162">
        <v>2.9445999999999999</v>
      </c>
      <c r="D162">
        <v>3.8032000000000003E-2</v>
      </c>
      <c r="E162">
        <v>1.2033E-5</v>
      </c>
      <c r="F162">
        <v>0.93167999999999995</v>
      </c>
    </row>
    <row r="163" spans="1:6" x14ac:dyDescent="0.3">
      <c r="A163">
        <v>272</v>
      </c>
      <c r="B163">
        <v>59.31</v>
      </c>
      <c r="C163">
        <v>2.9333</v>
      </c>
      <c r="D163">
        <v>3.8087999999999997E-2</v>
      </c>
      <c r="E163">
        <v>1.2051E-5</v>
      </c>
      <c r="F163">
        <v>0.92811999999999995</v>
      </c>
    </row>
    <row r="164" spans="1:6" x14ac:dyDescent="0.3">
      <c r="A164">
        <v>273</v>
      </c>
      <c r="B164">
        <v>58.923999999999999</v>
      </c>
      <c r="C164">
        <v>2.9224000000000001</v>
      </c>
      <c r="D164">
        <v>3.8145999999999999E-2</v>
      </c>
      <c r="E164">
        <v>1.2069000000000001E-5</v>
      </c>
      <c r="F164">
        <v>0.92466999999999999</v>
      </c>
    </row>
    <row r="165" spans="1:6" x14ac:dyDescent="0.3">
      <c r="A165">
        <v>274</v>
      </c>
      <c r="B165">
        <v>58.543999999999997</v>
      </c>
      <c r="C165">
        <v>2.9119000000000002</v>
      </c>
      <c r="D165">
        <v>3.8205999999999997E-2</v>
      </c>
      <c r="E165">
        <v>1.2088E-5</v>
      </c>
      <c r="F165">
        <v>0.92130999999999996</v>
      </c>
    </row>
    <row r="166" spans="1:6" x14ac:dyDescent="0.3">
      <c r="A166">
        <v>275</v>
      </c>
      <c r="B166">
        <v>58.170999999999999</v>
      </c>
      <c r="C166">
        <v>2.9018000000000002</v>
      </c>
      <c r="D166">
        <v>3.8268000000000003E-2</v>
      </c>
      <c r="E166">
        <v>1.2106999999999999E-5</v>
      </c>
      <c r="F166">
        <v>0.91803999999999997</v>
      </c>
    </row>
    <row r="167" spans="1:6" x14ac:dyDescent="0.3">
      <c r="A167">
        <v>276</v>
      </c>
      <c r="B167">
        <v>57.804000000000002</v>
      </c>
      <c r="C167">
        <v>2.8919999999999999</v>
      </c>
      <c r="D167">
        <v>3.8331999999999998E-2</v>
      </c>
      <c r="E167">
        <v>1.2126E-5</v>
      </c>
      <c r="F167">
        <v>0.91486000000000001</v>
      </c>
    </row>
    <row r="168" spans="1:6" x14ac:dyDescent="0.3">
      <c r="A168">
        <v>277</v>
      </c>
      <c r="B168">
        <v>57.444000000000003</v>
      </c>
      <c r="C168">
        <v>2.8826000000000001</v>
      </c>
      <c r="D168">
        <v>3.8398000000000002E-2</v>
      </c>
      <c r="E168">
        <v>1.2145E-5</v>
      </c>
      <c r="F168">
        <v>0.91176999999999997</v>
      </c>
    </row>
    <row r="169" spans="1:6" x14ac:dyDescent="0.3">
      <c r="A169">
        <v>278</v>
      </c>
      <c r="B169">
        <v>57.088999999999999</v>
      </c>
      <c r="C169">
        <v>2.8734999999999999</v>
      </c>
      <c r="D169">
        <v>3.8464999999999999E-2</v>
      </c>
      <c r="E169">
        <v>1.2165E-5</v>
      </c>
      <c r="F169">
        <v>0.90876000000000001</v>
      </c>
    </row>
    <row r="170" spans="1:6" x14ac:dyDescent="0.3">
      <c r="A170">
        <v>279</v>
      </c>
      <c r="B170">
        <v>56.741</v>
      </c>
      <c r="C170">
        <v>2.8647</v>
      </c>
      <c r="D170">
        <v>3.8533999999999999E-2</v>
      </c>
      <c r="E170">
        <v>1.2184000000000001E-5</v>
      </c>
      <c r="F170">
        <v>0.90581999999999996</v>
      </c>
    </row>
    <row r="171" spans="1:6" x14ac:dyDescent="0.3">
      <c r="A171">
        <v>280</v>
      </c>
      <c r="B171">
        <v>56.398000000000003</v>
      </c>
      <c r="C171">
        <v>2.8561999999999999</v>
      </c>
      <c r="D171">
        <v>3.8605E-2</v>
      </c>
      <c r="E171">
        <v>1.2204E-5</v>
      </c>
      <c r="F171">
        <v>0.90295999999999998</v>
      </c>
    </row>
    <row r="172" spans="1:6" x14ac:dyDescent="0.3">
      <c r="A172">
        <v>281</v>
      </c>
      <c r="B172">
        <v>56.06</v>
      </c>
      <c r="C172">
        <v>2.8481000000000001</v>
      </c>
      <c r="D172">
        <v>3.8677999999999997E-2</v>
      </c>
      <c r="E172">
        <v>1.2225000000000001E-5</v>
      </c>
      <c r="F172">
        <v>0.90017999999999998</v>
      </c>
    </row>
    <row r="173" spans="1:6" x14ac:dyDescent="0.3">
      <c r="A173">
        <v>282</v>
      </c>
      <c r="B173">
        <v>55.728000000000002</v>
      </c>
      <c r="C173">
        <v>2.8401999999999998</v>
      </c>
      <c r="D173">
        <v>3.8752000000000002E-2</v>
      </c>
      <c r="E173">
        <v>1.2245E-5</v>
      </c>
      <c r="F173">
        <v>0.89746000000000004</v>
      </c>
    </row>
    <row r="174" spans="1:6" x14ac:dyDescent="0.3">
      <c r="A174">
        <v>283</v>
      </c>
      <c r="B174">
        <v>55.401000000000003</v>
      </c>
      <c r="C174">
        <v>2.8325</v>
      </c>
      <c r="D174">
        <v>3.8827E-2</v>
      </c>
      <c r="E174">
        <v>1.2266000000000001E-5</v>
      </c>
      <c r="F174">
        <v>0.89480999999999999</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메모</vt:lpstr>
      <vt:lpstr>기존 증기압축 사이클</vt:lpstr>
      <vt:lpstr>내부 열전달 계수 계산</vt:lpstr>
      <vt:lpstr>외부 열전달 계수 계산</vt:lpstr>
      <vt:lpstr>핀치점 확인</vt:lpstr>
      <vt:lpstr>X</vt:lpstr>
      <vt:lpstr>LNG 상태량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진영</dc:creator>
  <cp:lastModifiedBy>이 진영</cp:lastModifiedBy>
  <dcterms:created xsi:type="dcterms:W3CDTF">2022-11-18T13:16:32Z</dcterms:created>
  <dcterms:modified xsi:type="dcterms:W3CDTF">2022-11-26T13:27:54Z</dcterms:modified>
</cp:coreProperties>
</file>